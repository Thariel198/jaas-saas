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47CD59B8-02CA-4D12-A5BF-FA061713AB5F}" xr6:coauthVersionLast="47" xr6:coauthVersionMax="47" xr10:uidLastSave="{00000000-0000-0000-0000-000000000000}"/>
  <bookViews>
    <workbookView xWindow="-28230" yWindow="570" windowWidth="14610" windowHeight="15480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registro_1!$A$2:$O$78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1" l="1"/>
  <c r="L78" i="1"/>
  <c r="M65" i="1"/>
  <c r="L65" i="1"/>
  <c r="M40" i="1"/>
  <c r="M27" i="1"/>
  <c r="L27" i="1"/>
  <c r="N27" i="1" l="1"/>
  <c r="N40" i="1"/>
  <c r="O40" i="1" l="1"/>
</calcChain>
</file>

<file path=xl/sharedStrings.xml><?xml version="1.0" encoding="utf-8"?>
<sst xmlns="http://schemas.openxmlformats.org/spreadsheetml/2006/main" count="280" uniqueCount="86">
  <si>
    <t>¿Quién cobró?</t>
  </si>
  <si>
    <t>¿Dónde vive?</t>
  </si>
  <si>
    <t>¿Cuánto y cuándo?</t>
  </si>
  <si>
    <t>¿Alguna nota?</t>
  </si>
  <si>
    <t>¿Qué tipo?</t>
  </si>
  <si>
    <t>¿Qué pasó?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</si>
  <si>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</si>
  <si>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</si>
  <si>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</si>
  <si>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</si>
  <si>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</si>
  <si>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</si>
  <si>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</si>
  <si>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</si>
  <si>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</si>
  <si>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</si>
  <si>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CATEGORIA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</si>
  <si>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</si>
  <si>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</si>
  <si>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</si>
  <si>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</si>
  <si>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</si>
  <si>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</si>
  <si>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</si>
  <si>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</si>
  <si>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Wilder Trujillo Rosales</t>
  </si>
  <si>
    <t>G</t>
  </si>
  <si>
    <t>H</t>
  </si>
  <si>
    <t>N</t>
  </si>
  <si>
    <t>O</t>
  </si>
  <si>
    <t>J</t>
  </si>
  <si>
    <t>L</t>
  </si>
  <si>
    <t>I</t>
  </si>
  <si>
    <t>2B</t>
  </si>
  <si>
    <t>H1</t>
  </si>
  <si>
    <t>M</t>
  </si>
  <si>
    <t>reclamo</t>
  </si>
  <si>
    <t>K</t>
  </si>
  <si>
    <t>C1</t>
  </si>
  <si>
    <t>C</t>
  </si>
  <si>
    <t>V</t>
  </si>
  <si>
    <t>Y</t>
  </si>
  <si>
    <t>Q</t>
  </si>
  <si>
    <t>P</t>
  </si>
  <si>
    <t>F</t>
  </si>
  <si>
    <t>F1</t>
  </si>
  <si>
    <t>T</t>
  </si>
  <si>
    <t>W</t>
  </si>
  <si>
    <t>3A</t>
  </si>
  <si>
    <t>X</t>
  </si>
  <si>
    <t>Pague todo medidor este mes.</t>
  </si>
  <si>
    <t>D</t>
  </si>
  <si>
    <t>S</t>
  </si>
  <si>
    <t>tanque</t>
  </si>
  <si>
    <t>ya cancele este medidor</t>
  </si>
  <si>
    <t>Reclamo. Ya pague convenio, pago solo consumo.</t>
  </si>
  <si>
    <t>yape 16 + efectivo 12</t>
  </si>
  <si>
    <t>Ya pague todo convenio</t>
  </si>
  <si>
    <t>B</t>
  </si>
  <si>
    <t>Reclamo. Ya pague mes anterior, techado y campo</t>
  </si>
  <si>
    <t>Reclamo. Verificar todos los pagos de medidores todas las cuotas pago 2yape + 2fectivo</t>
  </si>
  <si>
    <t>Reclamo. Verificar que mi pago de medidor en febrero es 25 no 21.</t>
  </si>
  <si>
    <t>Reclamo. Cambiar mi apellido esta al revez.</t>
  </si>
  <si>
    <t>compromiso</t>
  </si>
  <si>
    <t>Compromiso. Resta 51 pagara en 2 cuotas techado y campo</t>
  </si>
  <si>
    <t>Reclamo. Ya pague mes anterior 18.5. Pague faena. Cambiar mz: C1-17 a C1-9</t>
  </si>
  <si>
    <t>A1</t>
  </si>
  <si>
    <t>Reclamo. Consumo alto paga solo 8 no 38. Paga tambien techado campo 75.</t>
  </si>
  <si>
    <t>Cordinar: 925 190 673</t>
  </si>
  <si>
    <t>Cambiar la multa de G1-M15</t>
  </si>
  <si>
    <t>Verificar convenio</t>
  </si>
  <si>
    <t>Ya pague multa 30</t>
  </si>
  <si>
    <t>937 518 732</t>
  </si>
  <si>
    <t>938 518 732</t>
  </si>
  <si>
    <t>935 534 528. Consumo alto, Medidor cancelado, observar techado</t>
  </si>
  <si>
    <t>Ya pague medidor, revizar cuaderno</t>
  </si>
  <si>
    <t>928 828 806. Falta solo 25</t>
  </si>
  <si>
    <t>Mi lote es F1-7. Todos mis titulos estan con F1-7.</t>
  </si>
  <si>
    <t>Revizar convenio</t>
  </si>
  <si>
    <t>918 108 082. Verificar mañana hacer reporte. Solo pregunto</t>
  </si>
  <si>
    <t>Ya pague convenio</t>
  </si>
  <si>
    <t>Se corrige corte 40, mes anterior pago 16, exonerado reunion, exonerado faena (permanente)</t>
  </si>
  <si>
    <t>Tiene exesa cancelo 58 mes pasado esta al dia.</t>
  </si>
  <si>
    <t>Esta al dia</t>
  </si>
  <si>
    <t>Multa exonerada, faena permanente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</si>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</sst>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9"/>
      <color rgb="FF9A3412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b/>
      <sz val="10"/>
      <color rgb="FF9A3412"/>
      <name val="Arial"/>
    </font>
    <font>
      <i/>
      <sz val="10"/>
      <color rgb="FF9CA3AF"/>
      <name val="Arial"/>
    </font>
    <font>
      <b/>
      <sz val="9"/>
      <color rgb="FF880E4F"/>
      <name val="Arial"/>
    </font>
    <font>
      <b/>
      <sz val="10"/>
      <color rgb="FF880E4F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/>
    <xf numFmtId="0" fontId="12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8"/>
  <sheetViews>
    <sheetView tabSelected="1" topLeftCell="C1" zoomScale="80" zoomScaleNormal="80" workbookViewId="0">
      <pane ySplit="2" topLeftCell="A15" activePane="bottomLeft" state="frozen"/>
      <selection pane="bottomLeft" activeCell="L48" sqref="L48"/>
    </sheetView>
  </sheetViews>
  <sheetFormatPr baseColWidth="10" defaultColWidth="8.7265625" defaultRowHeight="14.5" x14ac:dyDescent="0.35"/>
  <cols>
    <col min="1" max="1" width="21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A4" t="s">
        <v>25</v>
      </c>
      <c r="B4" s="9">
        <v>46209</v>
      </c>
      <c r="C4" t="s">
        <v>26</v>
      </c>
      <c r="D4">
        <v>11</v>
      </c>
      <c r="E4">
        <v>18</v>
      </c>
      <c r="F4">
        <v>18</v>
      </c>
      <c r="G4">
        <v>0</v>
      </c>
      <c r="H4" s="9">
        <v>46207</v>
      </c>
      <c r="I4" s="13"/>
    </row>
    <row r="5" spans="1:11" ht="18" customHeight="1" x14ac:dyDescent="0.35">
      <c r="A5" t="s">
        <v>25</v>
      </c>
      <c r="B5" s="9">
        <v>46209</v>
      </c>
      <c r="C5" t="s">
        <v>27</v>
      </c>
      <c r="D5">
        <v>19</v>
      </c>
      <c r="E5">
        <v>11</v>
      </c>
      <c r="F5">
        <v>11</v>
      </c>
      <c r="G5">
        <v>0</v>
      </c>
      <c r="H5" s="9">
        <v>46207</v>
      </c>
      <c r="I5" s="13"/>
    </row>
    <row r="6" spans="1:11" ht="18" customHeight="1" x14ac:dyDescent="0.35">
      <c r="A6" t="s">
        <v>25</v>
      </c>
      <c r="B6" s="9">
        <v>46209</v>
      </c>
      <c r="C6" t="s">
        <v>28</v>
      </c>
      <c r="D6">
        <v>2</v>
      </c>
      <c r="E6">
        <v>20</v>
      </c>
      <c r="F6">
        <v>20</v>
      </c>
      <c r="G6">
        <v>0</v>
      </c>
      <c r="H6" s="9">
        <v>46207</v>
      </c>
      <c r="I6" s="13"/>
    </row>
    <row r="7" spans="1:11" ht="18" customHeight="1" x14ac:dyDescent="0.35">
      <c r="A7" t="s">
        <v>25</v>
      </c>
      <c r="B7" s="9">
        <v>46209</v>
      </c>
      <c r="C7" t="s">
        <v>29</v>
      </c>
      <c r="D7">
        <v>26</v>
      </c>
      <c r="E7">
        <v>8</v>
      </c>
      <c r="F7">
        <v>8</v>
      </c>
      <c r="G7">
        <v>0</v>
      </c>
      <c r="H7" s="9">
        <v>46207</v>
      </c>
      <c r="I7" s="13"/>
    </row>
    <row r="8" spans="1:11" ht="18" customHeight="1" x14ac:dyDescent="0.35">
      <c r="A8" t="s">
        <v>25</v>
      </c>
      <c r="B8" s="9">
        <v>46209</v>
      </c>
      <c r="C8" t="s">
        <v>28</v>
      </c>
      <c r="D8">
        <v>4</v>
      </c>
      <c r="E8">
        <v>8</v>
      </c>
      <c r="F8">
        <v>8</v>
      </c>
      <c r="G8">
        <v>0</v>
      </c>
      <c r="H8" s="9">
        <v>46207</v>
      </c>
      <c r="I8" s="13"/>
    </row>
    <row r="9" spans="1:11" ht="18" customHeight="1" x14ac:dyDescent="0.35">
      <c r="A9" t="s">
        <v>25</v>
      </c>
      <c r="B9" s="9">
        <v>46209</v>
      </c>
      <c r="C9" t="s">
        <v>30</v>
      </c>
      <c r="D9">
        <v>5</v>
      </c>
      <c r="E9">
        <v>23</v>
      </c>
      <c r="F9">
        <v>23</v>
      </c>
      <c r="G9">
        <v>0</v>
      </c>
      <c r="H9" s="9">
        <v>46207</v>
      </c>
      <c r="I9" s="13"/>
    </row>
    <row r="10" spans="1:11" ht="18" customHeight="1" x14ac:dyDescent="0.35">
      <c r="A10" t="s">
        <v>25</v>
      </c>
      <c r="B10" s="9">
        <v>46209</v>
      </c>
      <c r="C10" t="s">
        <v>30</v>
      </c>
      <c r="D10">
        <v>7</v>
      </c>
      <c r="E10">
        <v>13</v>
      </c>
      <c r="F10">
        <v>13</v>
      </c>
      <c r="G10">
        <v>0</v>
      </c>
      <c r="H10" s="9">
        <v>46207</v>
      </c>
      <c r="I10" s="13"/>
    </row>
    <row r="11" spans="1:11" ht="18" customHeight="1" x14ac:dyDescent="0.35">
      <c r="A11" t="s">
        <v>25</v>
      </c>
      <c r="B11" s="9">
        <v>46209</v>
      </c>
      <c r="C11" t="s">
        <v>31</v>
      </c>
      <c r="D11">
        <v>14</v>
      </c>
      <c r="E11">
        <v>21</v>
      </c>
      <c r="F11">
        <v>21</v>
      </c>
      <c r="G11">
        <v>0</v>
      </c>
      <c r="H11" s="9">
        <v>46207</v>
      </c>
      <c r="I11" s="13"/>
    </row>
    <row r="12" spans="1:11" ht="18" customHeight="1" x14ac:dyDescent="0.35">
      <c r="A12" t="s">
        <v>25</v>
      </c>
      <c r="B12" s="9">
        <v>46209</v>
      </c>
      <c r="C12" t="s">
        <v>32</v>
      </c>
      <c r="D12" t="s">
        <v>33</v>
      </c>
      <c r="E12">
        <v>8</v>
      </c>
      <c r="F12">
        <v>8</v>
      </c>
      <c r="G12">
        <v>0</v>
      </c>
      <c r="H12" s="9">
        <v>46207</v>
      </c>
      <c r="I12" s="13" t="s">
        <v>68</v>
      </c>
      <c r="K12" s="10" t="s">
        <v>36</v>
      </c>
    </row>
    <row r="13" spans="1:11" ht="18" customHeight="1" x14ac:dyDescent="0.35">
      <c r="A13" t="s">
        <v>25</v>
      </c>
      <c r="B13" s="9">
        <v>46209</v>
      </c>
      <c r="C13" t="s">
        <v>34</v>
      </c>
      <c r="D13">
        <v>6</v>
      </c>
      <c r="E13">
        <v>8</v>
      </c>
      <c r="F13">
        <v>8</v>
      </c>
      <c r="G13">
        <v>0</v>
      </c>
      <c r="H13" s="9">
        <v>46207</v>
      </c>
      <c r="I13" s="13"/>
    </row>
    <row r="14" spans="1:11" ht="18" customHeight="1" x14ac:dyDescent="0.35">
      <c r="A14" t="s">
        <v>25</v>
      </c>
      <c r="B14" s="9">
        <v>46209</v>
      </c>
      <c r="C14" t="s">
        <v>35</v>
      </c>
      <c r="D14">
        <v>15</v>
      </c>
      <c r="E14">
        <v>28</v>
      </c>
      <c r="F14">
        <v>28</v>
      </c>
      <c r="G14">
        <v>0</v>
      </c>
      <c r="H14" s="9">
        <v>46207</v>
      </c>
      <c r="I14" s="13" t="s">
        <v>69</v>
      </c>
      <c r="K14" t="s">
        <v>36</v>
      </c>
    </row>
    <row r="15" spans="1:11" ht="18" customHeight="1" x14ac:dyDescent="0.35">
      <c r="A15" t="s">
        <v>25</v>
      </c>
      <c r="B15" s="9">
        <v>46209</v>
      </c>
      <c r="C15" t="s">
        <v>26</v>
      </c>
      <c r="D15">
        <v>1</v>
      </c>
      <c r="E15">
        <v>25</v>
      </c>
      <c r="F15">
        <v>25</v>
      </c>
      <c r="G15">
        <v>0</v>
      </c>
      <c r="H15" s="9">
        <v>46207</v>
      </c>
      <c r="I15" s="13" t="s">
        <v>69</v>
      </c>
      <c r="K15" t="s">
        <v>36</v>
      </c>
    </row>
    <row r="16" spans="1:11" ht="18" customHeight="1" x14ac:dyDescent="0.35">
      <c r="A16" t="s">
        <v>25</v>
      </c>
      <c r="B16" s="9">
        <v>46209</v>
      </c>
      <c r="C16" t="s">
        <v>37</v>
      </c>
      <c r="D16">
        <v>2</v>
      </c>
      <c r="E16">
        <v>15</v>
      </c>
      <c r="F16">
        <v>15</v>
      </c>
      <c r="G16">
        <v>0</v>
      </c>
      <c r="H16" s="9">
        <v>46207</v>
      </c>
      <c r="I16" s="13" t="s">
        <v>70</v>
      </c>
      <c r="K16" t="s">
        <v>36</v>
      </c>
    </row>
    <row r="17" spans="1:14" ht="18" customHeight="1" x14ac:dyDescent="0.35">
      <c r="A17" t="s">
        <v>25</v>
      </c>
      <c r="B17" s="9">
        <v>46209</v>
      </c>
      <c r="C17" t="s">
        <v>38</v>
      </c>
      <c r="D17">
        <v>2</v>
      </c>
      <c r="E17">
        <v>8</v>
      </c>
      <c r="F17">
        <v>8</v>
      </c>
      <c r="G17">
        <v>0</v>
      </c>
      <c r="H17" s="9">
        <v>46207</v>
      </c>
      <c r="I17" s="13"/>
    </row>
    <row r="18" spans="1:14" ht="18" customHeight="1" x14ac:dyDescent="0.35">
      <c r="A18" t="s">
        <v>25</v>
      </c>
      <c r="B18" s="9">
        <v>46209</v>
      </c>
      <c r="C18" t="s">
        <v>39</v>
      </c>
      <c r="D18">
        <v>4</v>
      </c>
      <c r="E18">
        <v>17</v>
      </c>
      <c r="F18">
        <v>17</v>
      </c>
      <c r="G18">
        <v>0</v>
      </c>
      <c r="H18" s="9">
        <v>46207</v>
      </c>
      <c r="I18" s="13"/>
    </row>
    <row r="19" spans="1:14" ht="18" customHeight="1" x14ac:dyDescent="0.35">
      <c r="A19" t="s">
        <v>25</v>
      </c>
      <c r="B19" s="9">
        <v>46209</v>
      </c>
      <c r="C19" t="s">
        <v>30</v>
      </c>
      <c r="D19">
        <v>4</v>
      </c>
      <c r="E19">
        <v>33</v>
      </c>
      <c r="F19">
        <v>33</v>
      </c>
      <c r="G19">
        <v>0</v>
      </c>
      <c r="H19" s="9">
        <v>46207</v>
      </c>
      <c r="I19" s="13"/>
    </row>
    <row r="20" spans="1:14" ht="18" customHeight="1" x14ac:dyDescent="0.35">
      <c r="A20" t="s">
        <v>25</v>
      </c>
      <c r="B20" s="9">
        <v>46209</v>
      </c>
      <c r="C20" t="s">
        <v>40</v>
      </c>
      <c r="D20">
        <v>6</v>
      </c>
      <c r="E20">
        <v>16</v>
      </c>
      <c r="F20">
        <v>16</v>
      </c>
      <c r="G20">
        <v>0</v>
      </c>
      <c r="H20" s="9">
        <v>46207</v>
      </c>
      <c r="I20" s="13" t="s">
        <v>71</v>
      </c>
      <c r="K20" t="s">
        <v>36</v>
      </c>
    </row>
    <row r="21" spans="1:14" ht="18" customHeight="1" x14ac:dyDescent="0.35">
      <c r="A21" t="s">
        <v>25</v>
      </c>
      <c r="B21" s="9">
        <v>46209</v>
      </c>
      <c r="C21" t="s">
        <v>40</v>
      </c>
      <c r="D21">
        <v>8</v>
      </c>
      <c r="E21">
        <v>8</v>
      </c>
      <c r="F21">
        <v>8</v>
      </c>
      <c r="G21">
        <v>0</v>
      </c>
      <c r="H21" s="9">
        <v>46207</v>
      </c>
      <c r="I21" s="13"/>
    </row>
    <row r="22" spans="1:14" ht="18" customHeight="1" x14ac:dyDescent="0.35">
      <c r="A22" t="s">
        <v>25</v>
      </c>
      <c r="B22" s="9">
        <v>46209</v>
      </c>
      <c r="C22" t="s">
        <v>41</v>
      </c>
      <c r="D22">
        <v>9</v>
      </c>
      <c r="E22">
        <v>14</v>
      </c>
      <c r="F22">
        <v>14</v>
      </c>
      <c r="G22">
        <v>0</v>
      </c>
      <c r="H22" s="9">
        <v>46207</v>
      </c>
      <c r="I22" s="13"/>
    </row>
    <row r="23" spans="1:14" ht="18" customHeight="1" x14ac:dyDescent="0.35">
      <c r="A23" t="s">
        <v>25</v>
      </c>
      <c r="B23" s="9">
        <v>46209</v>
      </c>
      <c r="C23" t="s">
        <v>38</v>
      </c>
      <c r="D23">
        <v>13</v>
      </c>
      <c r="E23">
        <v>87</v>
      </c>
      <c r="F23">
        <v>0</v>
      </c>
      <c r="G23">
        <v>87</v>
      </c>
      <c r="H23" s="9">
        <v>46207</v>
      </c>
      <c r="I23" s="13"/>
    </row>
    <row r="24" spans="1:14" ht="18" customHeight="1" x14ac:dyDescent="0.35">
      <c r="A24" t="s">
        <v>25</v>
      </c>
      <c r="B24" s="9">
        <v>46209</v>
      </c>
      <c r="C24" t="s">
        <v>42</v>
      </c>
      <c r="D24">
        <v>14</v>
      </c>
      <c r="E24">
        <v>9</v>
      </c>
      <c r="F24">
        <v>9</v>
      </c>
      <c r="G24">
        <v>0</v>
      </c>
      <c r="H24" s="9">
        <v>46207</v>
      </c>
      <c r="I24" s="13"/>
    </row>
    <row r="25" spans="1:14" ht="18" customHeight="1" x14ac:dyDescent="0.35">
      <c r="A25" t="s">
        <v>25</v>
      </c>
      <c r="B25" s="9">
        <v>46209</v>
      </c>
      <c r="C25" t="s">
        <v>39</v>
      </c>
      <c r="D25">
        <v>1</v>
      </c>
      <c r="E25">
        <v>22</v>
      </c>
      <c r="F25">
        <v>22</v>
      </c>
      <c r="G25">
        <v>0</v>
      </c>
      <c r="H25" s="9">
        <v>46207</v>
      </c>
      <c r="I25" s="13" t="s">
        <v>72</v>
      </c>
      <c r="K25" s="10" t="s">
        <v>36</v>
      </c>
    </row>
    <row r="26" spans="1:14" ht="18" customHeight="1" x14ac:dyDescent="0.35">
      <c r="A26" t="s">
        <v>25</v>
      </c>
      <c r="B26" s="9">
        <v>46209</v>
      </c>
      <c r="C26" t="s">
        <v>39</v>
      </c>
      <c r="D26">
        <v>30</v>
      </c>
      <c r="E26">
        <v>23</v>
      </c>
      <c r="F26">
        <v>23</v>
      </c>
      <c r="G26">
        <v>0</v>
      </c>
      <c r="H26" s="9">
        <v>46207</v>
      </c>
      <c r="I26" s="13" t="s">
        <v>73</v>
      </c>
      <c r="K26" s="10" t="s">
        <v>36</v>
      </c>
    </row>
    <row r="27" spans="1:14" ht="18" customHeight="1" x14ac:dyDescent="0.35">
      <c r="A27" t="s">
        <v>25</v>
      </c>
      <c r="B27" s="9">
        <v>46209</v>
      </c>
      <c r="C27" t="s">
        <v>43</v>
      </c>
      <c r="D27">
        <v>14</v>
      </c>
      <c r="E27">
        <v>23</v>
      </c>
      <c r="F27">
        <v>23</v>
      </c>
      <c r="G27">
        <v>0</v>
      </c>
      <c r="H27" s="9">
        <v>46207</v>
      </c>
      <c r="I27" s="13"/>
      <c r="L27">
        <f>SUM(F4:F27)</f>
        <v>379</v>
      </c>
      <c r="M27" s="10">
        <f>SUM(G4:G27)</f>
        <v>87</v>
      </c>
      <c r="N27">
        <f>L27+M27</f>
        <v>466</v>
      </c>
    </row>
    <row r="28" spans="1:14" ht="18" customHeight="1" x14ac:dyDescent="0.35">
      <c r="A28" t="s">
        <v>25</v>
      </c>
      <c r="B28" s="9">
        <v>46209</v>
      </c>
      <c r="C28" t="s">
        <v>19</v>
      </c>
      <c r="D28">
        <v>6</v>
      </c>
      <c r="E28">
        <v>43</v>
      </c>
      <c r="F28">
        <v>43</v>
      </c>
      <c r="G28">
        <v>0</v>
      </c>
      <c r="H28" s="9">
        <v>46207</v>
      </c>
      <c r="I28" s="13" t="s">
        <v>74</v>
      </c>
      <c r="K28" s="10" t="s">
        <v>36</v>
      </c>
    </row>
    <row r="29" spans="1:14" ht="18" customHeight="1" x14ac:dyDescent="0.35">
      <c r="A29" t="s">
        <v>25</v>
      </c>
      <c r="B29" s="9">
        <v>46209</v>
      </c>
      <c r="C29" t="s">
        <v>42</v>
      </c>
      <c r="D29">
        <v>8</v>
      </c>
      <c r="E29">
        <v>18</v>
      </c>
      <c r="F29">
        <v>18</v>
      </c>
      <c r="G29">
        <v>0</v>
      </c>
      <c r="H29" s="9">
        <v>46207</v>
      </c>
      <c r="I29" s="13" t="s">
        <v>75</v>
      </c>
      <c r="K29" s="10" t="s">
        <v>36</v>
      </c>
    </row>
    <row r="30" spans="1:14" ht="18" customHeight="1" x14ac:dyDescent="0.35">
      <c r="A30" t="s">
        <v>25</v>
      </c>
      <c r="B30" s="9">
        <v>46209</v>
      </c>
      <c r="C30" t="s">
        <v>44</v>
      </c>
      <c r="D30">
        <v>12</v>
      </c>
      <c r="E30">
        <v>8</v>
      </c>
      <c r="F30">
        <v>8</v>
      </c>
      <c r="G30">
        <v>0</v>
      </c>
      <c r="H30" s="9">
        <v>46207</v>
      </c>
      <c r="I30" s="13" t="s">
        <v>76</v>
      </c>
    </row>
    <row r="31" spans="1:14" ht="18" customHeight="1" x14ac:dyDescent="0.35">
      <c r="A31" t="s">
        <v>25</v>
      </c>
      <c r="B31" s="9">
        <v>46209</v>
      </c>
      <c r="C31" t="s">
        <v>45</v>
      </c>
      <c r="D31">
        <v>6</v>
      </c>
      <c r="E31">
        <v>34</v>
      </c>
      <c r="F31">
        <v>34</v>
      </c>
      <c r="G31">
        <v>0</v>
      </c>
      <c r="H31" s="9">
        <v>46207</v>
      </c>
      <c r="I31" s="13" t="s">
        <v>77</v>
      </c>
    </row>
    <row r="32" spans="1:14" ht="18" customHeight="1" x14ac:dyDescent="0.35">
      <c r="A32" t="s">
        <v>25</v>
      </c>
      <c r="B32" s="9">
        <v>46209</v>
      </c>
      <c r="C32" t="s">
        <v>32</v>
      </c>
      <c r="D32">
        <v>12</v>
      </c>
      <c r="E32">
        <v>94</v>
      </c>
      <c r="F32">
        <v>94</v>
      </c>
      <c r="G32">
        <v>0</v>
      </c>
      <c r="H32" s="9">
        <v>46207</v>
      </c>
      <c r="I32" s="13" t="s">
        <v>78</v>
      </c>
      <c r="K32" s="10" t="s">
        <v>36</v>
      </c>
    </row>
    <row r="33" spans="1:15" ht="18" customHeight="1" x14ac:dyDescent="0.35">
      <c r="A33" t="s">
        <v>25</v>
      </c>
      <c r="B33" s="9">
        <v>46209</v>
      </c>
      <c r="C33" t="s">
        <v>46</v>
      </c>
      <c r="D33">
        <v>7</v>
      </c>
      <c r="E33">
        <v>0</v>
      </c>
      <c r="F33">
        <v>0</v>
      </c>
      <c r="G33">
        <v>0</v>
      </c>
      <c r="H33" s="9">
        <v>46207</v>
      </c>
      <c r="I33" s="13" t="s">
        <v>79</v>
      </c>
    </row>
    <row r="34" spans="1:15" ht="18" customHeight="1" x14ac:dyDescent="0.35">
      <c r="A34" t="s">
        <v>25</v>
      </c>
      <c r="B34" s="9">
        <v>46209</v>
      </c>
      <c r="C34" t="s">
        <v>47</v>
      </c>
      <c r="D34">
        <v>3</v>
      </c>
      <c r="E34">
        <v>9</v>
      </c>
      <c r="F34">
        <v>9</v>
      </c>
      <c r="G34">
        <v>0</v>
      </c>
      <c r="H34" s="9">
        <v>46207</v>
      </c>
      <c r="I34" s="13" t="s">
        <v>80</v>
      </c>
      <c r="K34" s="10" t="s">
        <v>36</v>
      </c>
    </row>
    <row r="35" spans="1:15" ht="18" customHeight="1" x14ac:dyDescent="0.35">
      <c r="A35" t="s">
        <v>25</v>
      </c>
      <c r="B35" s="9">
        <v>46209</v>
      </c>
      <c r="C35" t="s">
        <v>40</v>
      </c>
      <c r="D35">
        <v>14</v>
      </c>
      <c r="E35">
        <v>8</v>
      </c>
      <c r="F35">
        <v>8</v>
      </c>
      <c r="G35">
        <v>0</v>
      </c>
      <c r="H35" s="9">
        <v>46207</v>
      </c>
      <c r="I35" s="13" t="s">
        <v>81</v>
      </c>
    </row>
    <row r="36" spans="1:15" ht="18" customHeight="1" x14ac:dyDescent="0.35">
      <c r="A36" t="s">
        <v>25</v>
      </c>
      <c r="B36" s="9">
        <v>46209</v>
      </c>
      <c r="C36" t="s">
        <v>26</v>
      </c>
      <c r="D36">
        <v>18</v>
      </c>
      <c r="E36">
        <v>8</v>
      </c>
      <c r="F36">
        <v>8</v>
      </c>
      <c r="G36">
        <v>0</v>
      </c>
      <c r="H36" s="9">
        <v>46207</v>
      </c>
      <c r="I36" s="13" t="s">
        <v>82</v>
      </c>
      <c r="K36" s="10" t="s">
        <v>36</v>
      </c>
    </row>
    <row r="37" spans="1:15" ht="18" customHeight="1" x14ac:dyDescent="0.35">
      <c r="A37" t="s">
        <v>25</v>
      </c>
      <c r="B37" s="9">
        <v>46209</v>
      </c>
      <c r="C37" t="s">
        <v>39</v>
      </c>
      <c r="D37">
        <v>19</v>
      </c>
      <c r="E37">
        <v>35</v>
      </c>
      <c r="F37">
        <v>35</v>
      </c>
      <c r="G37">
        <v>0</v>
      </c>
      <c r="H37" s="9">
        <v>46207</v>
      </c>
      <c r="I37" s="13" t="s">
        <v>83</v>
      </c>
    </row>
    <row r="38" spans="1:15" ht="18" customHeight="1" x14ac:dyDescent="0.35">
      <c r="A38" t="s">
        <v>25</v>
      </c>
      <c r="B38" s="9">
        <v>46209</v>
      </c>
      <c r="C38" t="s">
        <v>44</v>
      </c>
      <c r="D38">
        <v>10</v>
      </c>
      <c r="E38">
        <v>27</v>
      </c>
      <c r="F38">
        <v>27</v>
      </c>
      <c r="G38">
        <v>0</v>
      </c>
      <c r="H38" s="9">
        <v>46207</v>
      </c>
      <c r="I38" s="13" t="s">
        <v>84</v>
      </c>
      <c r="K38" s="10" t="s">
        <v>36</v>
      </c>
    </row>
    <row r="39" spans="1:15" s="10" customFormat="1" ht="18" customHeight="1" x14ac:dyDescent="0.35">
      <c r="B39" s="9"/>
      <c r="C39" s="10" t="s">
        <v>85</v>
      </c>
      <c r="E39" s="10">
        <v>17</v>
      </c>
      <c r="F39" s="10">
        <v>17</v>
      </c>
      <c r="H39" s="9"/>
      <c r="I39" s="13"/>
    </row>
    <row r="40" spans="1:15" ht="18" customHeight="1" x14ac:dyDescent="0.35">
      <c r="A40" t="s">
        <v>25</v>
      </c>
      <c r="B40" s="9">
        <v>46209</v>
      </c>
      <c r="C40" t="s">
        <v>27</v>
      </c>
      <c r="D40">
        <v>12</v>
      </c>
      <c r="E40">
        <v>89</v>
      </c>
      <c r="F40">
        <v>89</v>
      </c>
      <c r="G40">
        <v>0</v>
      </c>
      <c r="H40" s="9">
        <v>46207</v>
      </c>
      <c r="I40" s="13" t="s">
        <v>83</v>
      </c>
      <c r="L40">
        <f>SUM(F28:F40)</f>
        <v>390</v>
      </c>
      <c r="M40" s="10">
        <f>SUM(G28:G40)</f>
        <v>0</v>
      </c>
      <c r="N40">
        <f>L40+M40</f>
        <v>390</v>
      </c>
      <c r="O40">
        <f>N27+N40</f>
        <v>856</v>
      </c>
    </row>
    <row r="41" spans="1:15" ht="18" customHeight="1" x14ac:dyDescent="0.35">
      <c r="A41" t="s">
        <v>25</v>
      </c>
      <c r="B41" s="9">
        <v>46210</v>
      </c>
      <c r="C41" t="s">
        <v>40</v>
      </c>
      <c r="D41">
        <v>5</v>
      </c>
      <c r="E41">
        <v>19</v>
      </c>
      <c r="F41">
        <v>19</v>
      </c>
      <c r="G41">
        <v>0</v>
      </c>
      <c r="H41" s="9">
        <v>46208</v>
      </c>
      <c r="I41" s="13"/>
    </row>
    <row r="42" spans="1:15" ht="18" customHeight="1" x14ac:dyDescent="0.35">
      <c r="A42" t="s">
        <v>25</v>
      </c>
      <c r="B42" s="9">
        <v>46210</v>
      </c>
      <c r="C42" t="s">
        <v>39</v>
      </c>
      <c r="D42" t="s">
        <v>48</v>
      </c>
      <c r="E42">
        <v>10</v>
      </c>
      <c r="F42">
        <v>10</v>
      </c>
      <c r="G42">
        <v>0</v>
      </c>
      <c r="H42" s="9">
        <v>46208</v>
      </c>
      <c r="I42" s="13"/>
    </row>
    <row r="43" spans="1:15" ht="18" customHeight="1" x14ac:dyDescent="0.35">
      <c r="A43" t="s">
        <v>25</v>
      </c>
      <c r="B43" s="9">
        <v>46210</v>
      </c>
      <c r="C43" t="s">
        <v>49</v>
      </c>
      <c r="D43">
        <v>33</v>
      </c>
      <c r="E43">
        <v>15</v>
      </c>
      <c r="F43">
        <v>15</v>
      </c>
      <c r="G43">
        <v>0</v>
      </c>
      <c r="H43" s="9">
        <v>46208</v>
      </c>
      <c r="I43" s="13"/>
    </row>
    <row r="44" spans="1:15" ht="18" customHeight="1" x14ac:dyDescent="0.35">
      <c r="A44" t="s">
        <v>25</v>
      </c>
      <c r="B44" s="9">
        <v>46210</v>
      </c>
      <c r="C44" t="s">
        <v>46</v>
      </c>
      <c r="D44">
        <v>13</v>
      </c>
      <c r="E44">
        <v>11</v>
      </c>
      <c r="F44">
        <v>11</v>
      </c>
      <c r="G44">
        <v>0</v>
      </c>
      <c r="H44" s="9">
        <v>46208</v>
      </c>
      <c r="I44" s="13"/>
    </row>
    <row r="45" spans="1:15" ht="18" customHeight="1" x14ac:dyDescent="0.35">
      <c r="A45" t="s">
        <v>25</v>
      </c>
      <c r="B45" s="9">
        <v>46210</v>
      </c>
      <c r="C45" t="s">
        <v>45</v>
      </c>
      <c r="D45">
        <v>11</v>
      </c>
      <c r="E45">
        <v>116</v>
      </c>
      <c r="F45">
        <v>116</v>
      </c>
      <c r="G45">
        <v>0</v>
      </c>
      <c r="H45" s="9">
        <v>46208</v>
      </c>
      <c r="I45" s="13" t="s">
        <v>50</v>
      </c>
    </row>
    <row r="46" spans="1:15" ht="18" customHeight="1" x14ac:dyDescent="0.35">
      <c r="A46" t="s">
        <v>25</v>
      </c>
      <c r="B46" s="9">
        <v>46210</v>
      </c>
      <c r="C46" t="s">
        <v>46</v>
      </c>
      <c r="D46">
        <v>8</v>
      </c>
      <c r="E46">
        <v>15</v>
      </c>
      <c r="F46">
        <v>15</v>
      </c>
      <c r="G46">
        <v>0</v>
      </c>
      <c r="H46" s="9">
        <v>46208</v>
      </c>
      <c r="I46" s="13"/>
    </row>
    <row r="47" spans="1:15" ht="18" customHeight="1" x14ac:dyDescent="0.35">
      <c r="A47" t="s">
        <v>25</v>
      </c>
      <c r="B47" s="9">
        <v>46210</v>
      </c>
      <c r="C47" t="s">
        <v>51</v>
      </c>
      <c r="D47">
        <v>17</v>
      </c>
      <c r="E47">
        <v>24</v>
      </c>
      <c r="F47">
        <v>24</v>
      </c>
      <c r="G47">
        <v>0</v>
      </c>
      <c r="H47" s="9">
        <v>46208</v>
      </c>
      <c r="I47" s="13"/>
    </row>
    <row r="48" spans="1:15" ht="18" customHeight="1" x14ac:dyDescent="0.35">
      <c r="A48" t="s">
        <v>25</v>
      </c>
      <c r="B48" s="9">
        <v>46210</v>
      </c>
      <c r="C48" t="s">
        <v>52</v>
      </c>
      <c r="D48">
        <v>7</v>
      </c>
      <c r="E48">
        <v>141</v>
      </c>
      <c r="F48">
        <v>141</v>
      </c>
      <c r="G48">
        <v>0</v>
      </c>
      <c r="H48" s="9">
        <v>46208</v>
      </c>
      <c r="I48" s="13"/>
    </row>
    <row r="49" spans="1:11" ht="18" customHeight="1" x14ac:dyDescent="0.35">
      <c r="A49" t="s">
        <v>25</v>
      </c>
      <c r="B49" s="9">
        <v>46210</v>
      </c>
      <c r="C49" t="s">
        <v>19</v>
      </c>
      <c r="D49">
        <v>11</v>
      </c>
      <c r="E49">
        <v>8</v>
      </c>
      <c r="F49">
        <v>8</v>
      </c>
      <c r="G49">
        <v>0</v>
      </c>
      <c r="H49" s="9">
        <v>46208</v>
      </c>
      <c r="I49" s="13"/>
    </row>
    <row r="50" spans="1:11" ht="18" customHeight="1" x14ac:dyDescent="0.35">
      <c r="A50" t="s">
        <v>25</v>
      </c>
      <c r="B50" s="9">
        <v>46210</v>
      </c>
      <c r="C50" t="s">
        <v>29</v>
      </c>
      <c r="D50">
        <v>10</v>
      </c>
      <c r="E50">
        <v>16</v>
      </c>
      <c r="F50">
        <v>16</v>
      </c>
      <c r="G50">
        <v>0</v>
      </c>
      <c r="H50" s="9">
        <v>46208</v>
      </c>
      <c r="I50" s="13"/>
    </row>
    <row r="51" spans="1:11" ht="18" customHeight="1" x14ac:dyDescent="0.35">
      <c r="A51" t="s">
        <v>25</v>
      </c>
      <c r="B51" s="9">
        <v>46210</v>
      </c>
      <c r="C51" t="s">
        <v>32</v>
      </c>
      <c r="D51">
        <v>3</v>
      </c>
      <c r="E51">
        <v>167</v>
      </c>
      <c r="F51">
        <v>167</v>
      </c>
      <c r="G51">
        <v>0</v>
      </c>
      <c r="H51" s="9">
        <v>46208</v>
      </c>
      <c r="I51" s="13"/>
    </row>
    <row r="52" spans="1:11" ht="18" customHeight="1" x14ac:dyDescent="0.35">
      <c r="A52" t="s">
        <v>25</v>
      </c>
      <c r="B52" s="9">
        <v>46210</v>
      </c>
      <c r="C52" t="s">
        <v>27</v>
      </c>
      <c r="D52">
        <v>15</v>
      </c>
      <c r="E52">
        <v>15</v>
      </c>
      <c r="F52">
        <v>15</v>
      </c>
      <c r="G52">
        <v>0</v>
      </c>
      <c r="H52" s="9">
        <v>46208</v>
      </c>
      <c r="I52" s="13"/>
    </row>
    <row r="53" spans="1:11" ht="18" customHeight="1" x14ac:dyDescent="0.35">
      <c r="A53" t="s">
        <v>25</v>
      </c>
      <c r="B53" s="9">
        <v>46210</v>
      </c>
      <c r="C53" t="s">
        <v>43</v>
      </c>
      <c r="D53">
        <v>7</v>
      </c>
      <c r="E53">
        <v>19</v>
      </c>
      <c r="F53">
        <v>0</v>
      </c>
      <c r="G53">
        <v>19</v>
      </c>
      <c r="H53" s="9">
        <v>46208</v>
      </c>
      <c r="I53" s="13"/>
    </row>
    <row r="54" spans="1:11" ht="18" customHeight="1" x14ac:dyDescent="0.35">
      <c r="A54" t="s">
        <v>25</v>
      </c>
      <c r="B54" s="9">
        <v>46210</v>
      </c>
      <c r="C54" t="s">
        <v>43</v>
      </c>
      <c r="D54">
        <v>7</v>
      </c>
      <c r="E54">
        <v>200</v>
      </c>
      <c r="F54">
        <v>0</v>
      </c>
      <c r="G54">
        <v>200</v>
      </c>
      <c r="H54" s="9">
        <v>46208</v>
      </c>
      <c r="I54" s="13"/>
      <c r="J54" t="s">
        <v>53</v>
      </c>
    </row>
    <row r="55" spans="1:11" ht="18" customHeight="1" x14ac:dyDescent="0.35">
      <c r="A55" t="s">
        <v>25</v>
      </c>
      <c r="B55" s="9">
        <v>46210</v>
      </c>
      <c r="C55" t="s">
        <v>35</v>
      </c>
      <c r="D55">
        <v>17</v>
      </c>
      <c r="E55">
        <v>8</v>
      </c>
      <c r="F55">
        <v>8</v>
      </c>
      <c r="G55">
        <v>0</v>
      </c>
      <c r="H55" s="9">
        <v>46208</v>
      </c>
      <c r="I55" s="13"/>
    </row>
    <row r="56" spans="1:11" ht="18" customHeight="1" x14ac:dyDescent="0.35">
      <c r="A56" t="s">
        <v>25</v>
      </c>
      <c r="B56" s="9">
        <v>46210</v>
      </c>
      <c r="C56" t="s">
        <v>29</v>
      </c>
      <c r="D56">
        <v>9</v>
      </c>
      <c r="E56">
        <v>18</v>
      </c>
      <c r="F56">
        <v>18</v>
      </c>
      <c r="G56">
        <v>0</v>
      </c>
      <c r="H56" s="9">
        <v>46208</v>
      </c>
      <c r="I56" s="13"/>
    </row>
    <row r="57" spans="1:11" ht="18" customHeight="1" x14ac:dyDescent="0.35">
      <c r="A57" t="s">
        <v>25</v>
      </c>
      <c r="B57" s="9">
        <v>46210</v>
      </c>
      <c r="C57" t="s">
        <v>29</v>
      </c>
      <c r="D57">
        <v>4</v>
      </c>
      <c r="E57">
        <v>33</v>
      </c>
      <c r="F57">
        <v>33</v>
      </c>
      <c r="G57">
        <v>0</v>
      </c>
      <c r="H57" s="9">
        <v>46208</v>
      </c>
      <c r="I57" s="13" t="s">
        <v>54</v>
      </c>
    </row>
    <row r="58" spans="1:11" ht="18" customHeight="1" x14ac:dyDescent="0.35">
      <c r="A58" t="s">
        <v>25</v>
      </c>
      <c r="B58" s="9">
        <v>46210</v>
      </c>
      <c r="C58" t="s">
        <v>35</v>
      </c>
      <c r="D58">
        <v>1</v>
      </c>
      <c r="E58">
        <v>25</v>
      </c>
      <c r="F58">
        <v>25</v>
      </c>
      <c r="G58">
        <v>0</v>
      </c>
      <c r="H58" s="9">
        <v>46208</v>
      </c>
      <c r="I58" s="13"/>
    </row>
    <row r="59" spans="1:11" ht="18" customHeight="1" x14ac:dyDescent="0.35">
      <c r="A59" t="s">
        <v>25</v>
      </c>
      <c r="B59" s="9">
        <v>46210</v>
      </c>
      <c r="C59" t="s">
        <v>29</v>
      </c>
      <c r="D59">
        <v>22</v>
      </c>
      <c r="E59">
        <v>8</v>
      </c>
      <c r="F59">
        <v>8</v>
      </c>
      <c r="G59">
        <v>0</v>
      </c>
      <c r="H59" s="9">
        <v>46208</v>
      </c>
      <c r="I59" s="13" t="s">
        <v>55</v>
      </c>
      <c r="K59" t="s">
        <v>36</v>
      </c>
    </row>
    <row r="60" spans="1:11" ht="18" customHeight="1" x14ac:dyDescent="0.35">
      <c r="A60" t="s">
        <v>25</v>
      </c>
      <c r="B60" s="9">
        <v>46210</v>
      </c>
      <c r="C60" t="s">
        <v>37</v>
      </c>
      <c r="D60">
        <v>14</v>
      </c>
      <c r="E60">
        <v>28</v>
      </c>
      <c r="F60">
        <v>28</v>
      </c>
      <c r="G60">
        <v>0</v>
      </c>
      <c r="H60" s="9">
        <v>46208</v>
      </c>
      <c r="I60" s="13" t="s">
        <v>56</v>
      </c>
    </row>
    <row r="61" spans="1:11" ht="18" customHeight="1" x14ac:dyDescent="0.35">
      <c r="A61" t="s">
        <v>25</v>
      </c>
      <c r="B61" s="9">
        <v>46210</v>
      </c>
      <c r="C61" t="s">
        <v>39</v>
      </c>
      <c r="D61">
        <v>20</v>
      </c>
      <c r="E61">
        <v>17</v>
      </c>
      <c r="F61">
        <v>17</v>
      </c>
      <c r="G61">
        <v>0</v>
      </c>
      <c r="H61" s="9">
        <v>46208</v>
      </c>
      <c r="I61" s="13" t="s">
        <v>57</v>
      </c>
      <c r="K61" t="s">
        <v>36</v>
      </c>
    </row>
    <row r="62" spans="1:11" ht="18" customHeight="1" x14ac:dyDescent="0.35">
      <c r="A62" t="s">
        <v>25</v>
      </c>
      <c r="B62" s="9">
        <v>46210</v>
      </c>
      <c r="C62" t="s">
        <v>39</v>
      </c>
      <c r="D62">
        <v>26</v>
      </c>
      <c r="E62">
        <v>8</v>
      </c>
      <c r="F62">
        <v>8</v>
      </c>
      <c r="G62">
        <v>0</v>
      </c>
      <c r="H62" s="9">
        <v>46208</v>
      </c>
      <c r="I62" s="13"/>
    </row>
    <row r="63" spans="1:11" ht="18" customHeight="1" x14ac:dyDescent="0.35">
      <c r="A63" t="s">
        <v>25</v>
      </c>
      <c r="B63" s="9">
        <v>46210</v>
      </c>
      <c r="C63" t="s">
        <v>39</v>
      </c>
      <c r="D63">
        <v>27</v>
      </c>
      <c r="E63">
        <v>18</v>
      </c>
      <c r="F63">
        <v>18</v>
      </c>
      <c r="G63">
        <v>0</v>
      </c>
      <c r="H63" s="9">
        <v>46208</v>
      </c>
      <c r="I63" s="13"/>
    </row>
    <row r="64" spans="1:11" ht="18" customHeight="1" x14ac:dyDescent="0.35">
      <c r="A64" t="s">
        <v>25</v>
      </c>
      <c r="B64" s="9">
        <v>46210</v>
      </c>
      <c r="C64" t="s">
        <v>58</v>
      </c>
      <c r="D64">
        <v>8</v>
      </c>
      <c r="E64">
        <v>18</v>
      </c>
      <c r="F64">
        <v>18</v>
      </c>
      <c r="G64">
        <v>0</v>
      </c>
      <c r="H64" s="9">
        <v>46208</v>
      </c>
      <c r="I64" s="13" t="s">
        <v>59</v>
      </c>
      <c r="K64" t="s">
        <v>36</v>
      </c>
    </row>
    <row r="65" spans="1:13" ht="18" customHeight="1" x14ac:dyDescent="0.35">
      <c r="A65" t="s">
        <v>25</v>
      </c>
      <c r="B65" s="9">
        <v>46210</v>
      </c>
      <c r="C65" t="s">
        <v>47</v>
      </c>
      <c r="D65">
        <v>20</v>
      </c>
      <c r="E65">
        <v>79</v>
      </c>
      <c r="F65">
        <v>79</v>
      </c>
      <c r="G65">
        <v>0</v>
      </c>
      <c r="H65" s="9">
        <v>46208</v>
      </c>
      <c r="I65" s="13"/>
      <c r="L65">
        <f>SUM(F41:F65)</f>
        <v>817</v>
      </c>
      <c r="M65" s="10">
        <f>SUM(G41:G65)</f>
        <v>219</v>
      </c>
    </row>
    <row r="66" spans="1:13" ht="18" customHeight="1" x14ac:dyDescent="0.35">
      <c r="A66" t="s">
        <v>25</v>
      </c>
      <c r="B66" s="9">
        <v>46210</v>
      </c>
      <c r="C66" t="s">
        <v>46</v>
      </c>
      <c r="D66">
        <v>7</v>
      </c>
      <c r="E66">
        <v>46</v>
      </c>
      <c r="F66">
        <v>46</v>
      </c>
      <c r="G66">
        <v>0</v>
      </c>
      <c r="H66" s="9">
        <v>46208</v>
      </c>
      <c r="I66" s="13" t="s">
        <v>60</v>
      </c>
      <c r="K66" t="s">
        <v>36</v>
      </c>
    </row>
    <row r="67" spans="1:13" ht="18" customHeight="1" x14ac:dyDescent="0.35">
      <c r="A67" t="s">
        <v>25</v>
      </c>
      <c r="B67" s="9">
        <v>46210</v>
      </c>
      <c r="C67" t="s">
        <v>43</v>
      </c>
      <c r="D67">
        <v>8</v>
      </c>
      <c r="E67">
        <v>182</v>
      </c>
      <c r="F67">
        <v>182</v>
      </c>
      <c r="G67">
        <v>0</v>
      </c>
      <c r="H67" s="9">
        <v>46208</v>
      </c>
      <c r="I67" s="13" t="s">
        <v>61</v>
      </c>
      <c r="K67" t="s">
        <v>36</v>
      </c>
    </row>
    <row r="68" spans="1:13" ht="18" customHeight="1" x14ac:dyDescent="0.35">
      <c r="A68" t="s">
        <v>25</v>
      </c>
      <c r="B68" s="9">
        <v>46210</v>
      </c>
      <c r="C68" t="s">
        <v>26</v>
      </c>
      <c r="D68">
        <v>9</v>
      </c>
      <c r="E68">
        <v>21</v>
      </c>
      <c r="F68">
        <v>21</v>
      </c>
      <c r="G68">
        <v>0</v>
      </c>
      <c r="H68" s="9">
        <v>46208</v>
      </c>
      <c r="I68" s="13" t="s">
        <v>62</v>
      </c>
      <c r="K68" t="s">
        <v>36</v>
      </c>
    </row>
    <row r="69" spans="1:13" ht="18" customHeight="1" x14ac:dyDescent="0.35">
      <c r="A69" t="s">
        <v>25</v>
      </c>
      <c r="B69" s="9">
        <v>46210</v>
      </c>
      <c r="C69" t="s">
        <v>49</v>
      </c>
      <c r="D69">
        <v>9</v>
      </c>
      <c r="E69">
        <v>16</v>
      </c>
      <c r="F69">
        <v>16</v>
      </c>
      <c r="G69">
        <v>0</v>
      </c>
      <c r="H69" s="9">
        <v>46208</v>
      </c>
      <c r="I69" s="13"/>
      <c r="K69" t="s">
        <v>63</v>
      </c>
    </row>
    <row r="70" spans="1:13" ht="18" customHeight="1" x14ac:dyDescent="0.35">
      <c r="A70" t="s">
        <v>25</v>
      </c>
      <c r="B70" s="9">
        <v>46210</v>
      </c>
      <c r="C70" t="s">
        <v>46</v>
      </c>
      <c r="D70">
        <v>3</v>
      </c>
      <c r="E70">
        <v>10</v>
      </c>
      <c r="F70">
        <v>10</v>
      </c>
      <c r="G70">
        <v>0</v>
      </c>
      <c r="H70" s="9">
        <v>46208</v>
      </c>
      <c r="I70" s="13"/>
    </row>
    <row r="71" spans="1:13" ht="18" customHeight="1" x14ac:dyDescent="0.35">
      <c r="A71" t="s">
        <v>25</v>
      </c>
      <c r="B71" s="9">
        <v>46210</v>
      </c>
      <c r="C71" t="s">
        <v>52</v>
      </c>
      <c r="D71">
        <v>1</v>
      </c>
      <c r="E71">
        <v>41</v>
      </c>
      <c r="F71">
        <v>41</v>
      </c>
      <c r="G71">
        <v>0</v>
      </c>
      <c r="H71" s="9">
        <v>46208</v>
      </c>
      <c r="I71" s="13" t="s">
        <v>64</v>
      </c>
    </row>
    <row r="72" spans="1:13" ht="18" customHeight="1" x14ac:dyDescent="0.35">
      <c r="A72" t="s">
        <v>25</v>
      </c>
      <c r="B72" s="9">
        <v>46210</v>
      </c>
      <c r="C72" t="s">
        <v>38</v>
      </c>
      <c r="D72">
        <v>9</v>
      </c>
      <c r="E72">
        <v>9</v>
      </c>
      <c r="F72">
        <v>9</v>
      </c>
      <c r="G72">
        <v>0</v>
      </c>
      <c r="H72" s="9">
        <v>46208</v>
      </c>
      <c r="I72" s="13" t="s">
        <v>65</v>
      </c>
      <c r="K72" t="s">
        <v>36</v>
      </c>
    </row>
    <row r="73" spans="1:13" ht="18" customHeight="1" x14ac:dyDescent="0.35">
      <c r="A73" t="s">
        <v>25</v>
      </c>
      <c r="B73" s="9">
        <v>46210</v>
      </c>
      <c r="C73" t="s">
        <v>66</v>
      </c>
      <c r="D73">
        <v>13</v>
      </c>
      <c r="E73">
        <v>83</v>
      </c>
      <c r="F73">
        <v>83</v>
      </c>
      <c r="G73">
        <v>0</v>
      </c>
      <c r="H73" s="9">
        <v>46208</v>
      </c>
      <c r="I73" s="13" t="s">
        <v>67</v>
      </c>
      <c r="K73" t="s">
        <v>36</v>
      </c>
    </row>
    <row r="74" spans="1:13" ht="18" customHeight="1" x14ac:dyDescent="0.35">
      <c r="A74" t="s">
        <v>25</v>
      </c>
      <c r="B74" s="9">
        <v>46210</v>
      </c>
      <c r="C74" t="s">
        <v>34</v>
      </c>
      <c r="D74">
        <v>1</v>
      </c>
      <c r="E74">
        <v>8</v>
      </c>
      <c r="F74">
        <v>8</v>
      </c>
      <c r="G74">
        <v>0</v>
      </c>
      <c r="H74" s="9">
        <v>46208</v>
      </c>
      <c r="I74" s="13"/>
    </row>
    <row r="75" spans="1:13" ht="18" customHeight="1" x14ac:dyDescent="0.35">
      <c r="A75" t="s">
        <v>25</v>
      </c>
      <c r="B75" s="9">
        <v>46210</v>
      </c>
      <c r="C75" t="s">
        <v>40</v>
      </c>
      <c r="D75">
        <v>2</v>
      </c>
      <c r="E75">
        <v>8</v>
      </c>
      <c r="F75">
        <v>8</v>
      </c>
      <c r="G75">
        <v>0</v>
      </c>
      <c r="H75" s="9">
        <v>46208</v>
      </c>
      <c r="I75" s="13"/>
    </row>
    <row r="76" spans="1:13" ht="18" customHeight="1" x14ac:dyDescent="0.35">
      <c r="A76" t="s">
        <v>25</v>
      </c>
      <c r="B76" s="9">
        <v>46210</v>
      </c>
      <c r="C76" t="s">
        <v>27</v>
      </c>
      <c r="D76">
        <v>14</v>
      </c>
      <c r="E76">
        <v>8</v>
      </c>
      <c r="F76">
        <v>8</v>
      </c>
      <c r="G76">
        <v>0</v>
      </c>
      <c r="H76" s="9">
        <v>46208</v>
      </c>
      <c r="I76" s="13"/>
    </row>
    <row r="77" spans="1:13" ht="18" customHeight="1" x14ac:dyDescent="0.35">
      <c r="A77" t="s">
        <v>25</v>
      </c>
      <c r="B77" s="9">
        <v>46210</v>
      </c>
      <c r="C77" t="s">
        <v>34</v>
      </c>
      <c r="D77">
        <v>5</v>
      </c>
      <c r="E77">
        <v>8</v>
      </c>
      <c r="F77">
        <v>8</v>
      </c>
      <c r="G77">
        <v>0</v>
      </c>
      <c r="H77" s="9">
        <v>46208</v>
      </c>
      <c r="I77" s="13"/>
    </row>
    <row r="78" spans="1:13" ht="18" customHeight="1" x14ac:dyDescent="0.35">
      <c r="A78" t="s">
        <v>25</v>
      </c>
      <c r="B78" s="9">
        <v>46210</v>
      </c>
      <c r="C78" t="s">
        <v>46</v>
      </c>
      <c r="D78">
        <v>11</v>
      </c>
      <c r="E78">
        <v>8</v>
      </c>
      <c r="F78">
        <v>8</v>
      </c>
      <c r="G78">
        <v>0</v>
      </c>
      <c r="H78" s="9">
        <v>46208</v>
      </c>
      <c r="I78" s="13"/>
      <c r="L78">
        <f>SUM(F66:F78)</f>
        <v>448</v>
      </c>
    </row>
    <row r="79" spans="1:13" ht="18" customHeight="1" x14ac:dyDescent="0.35">
      <c r="I79" s="13"/>
    </row>
    <row r="80" spans="1:13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</sheetData>
  <autoFilter ref="A2:O78" xr:uid="{00000000-0001-0000-0000-000000000000}"/>
  <mergeCells count="3">
    <mergeCell ref="C1:D1"/>
    <mergeCell ref="A1:B1"/>
    <mergeCell ref="E1:H1"/>
  </mergeCells>
  <phoneticPr fontId="14" type="noConversion"/>
  <dataValidations count="1">
    <dataValidation type="list" allowBlank="1" showErrorMessage="1" errorTitle="CATEGORIA inválida" error="Valores: reclamo, compromiso, exoneracion, otros — o dejar vacío (pago normal)." sqref="K4:K500" xr:uid="{00000000-0002-0000-0000-000000000000}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100-000000000000}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200-000000000000}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2026-07-03T10:08:54Z</dcterms:created>
  <dcterms:modified xsi:type="dcterms:W3CDTF">2026-07-08T20:09:37Z</dcterms:modified>
</cp:coreProperties>
</file>