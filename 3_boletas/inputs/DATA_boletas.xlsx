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3_boletas\inputs\"/>
    </mc:Choice>
  </mc:AlternateContent>
  <xr:revisionPtr revIDLastSave="0" documentId="13_ncr:1_{D803147B-BBDF-4AA1-B273-2A0E58B1AE3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a" sheetId="1" r:id="rId1"/>
  </sheets>
  <definedNames>
    <definedName name="_xlnm._FilterDatabase" localSheetId="0" hidden="1">Data!$A$1:$Y$576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575" i="1" l="1"/>
  <c r="T575" i="1"/>
  <c r="Y575" i="1" s="1"/>
  <c r="L575" i="1"/>
  <c r="U574" i="1"/>
  <c r="T574" i="1"/>
  <c r="Y574" i="1" s="1"/>
  <c r="L574" i="1"/>
  <c r="U573" i="1"/>
  <c r="T573" i="1"/>
  <c r="Y573" i="1" s="1"/>
  <c r="L573" i="1"/>
  <c r="U572" i="1"/>
  <c r="T572" i="1"/>
  <c r="Y572" i="1" s="1"/>
  <c r="L572" i="1"/>
  <c r="N572" i="1" s="1"/>
  <c r="U571" i="1"/>
  <c r="T571" i="1"/>
  <c r="Y571" i="1" s="1"/>
  <c r="L571" i="1"/>
  <c r="U570" i="1"/>
  <c r="T570" i="1"/>
  <c r="Y570" i="1" s="1"/>
  <c r="L570" i="1"/>
  <c r="U569" i="1"/>
  <c r="T569" i="1"/>
  <c r="Y569" i="1" s="1"/>
  <c r="L569" i="1"/>
  <c r="N569" i="1" s="1"/>
  <c r="U568" i="1"/>
  <c r="T568" i="1"/>
  <c r="Y568" i="1" s="1"/>
  <c r="L568" i="1"/>
  <c r="U567" i="1"/>
  <c r="T567" i="1"/>
  <c r="Y567" i="1" s="1"/>
  <c r="L567" i="1"/>
  <c r="U566" i="1"/>
  <c r="T566" i="1"/>
  <c r="Y566" i="1" s="1"/>
  <c r="L566" i="1"/>
  <c r="U565" i="1"/>
  <c r="T565" i="1"/>
  <c r="Y565" i="1" s="1"/>
  <c r="L565" i="1"/>
  <c r="N565" i="1" s="1"/>
  <c r="U564" i="1"/>
  <c r="T564" i="1"/>
  <c r="Y564" i="1" s="1"/>
  <c r="L564" i="1"/>
  <c r="N564" i="1" s="1"/>
  <c r="U563" i="1"/>
  <c r="T563" i="1"/>
  <c r="Y563" i="1" s="1"/>
  <c r="L563" i="1"/>
  <c r="N563" i="1" s="1"/>
  <c r="U562" i="1"/>
  <c r="T562" i="1"/>
  <c r="Y562" i="1" s="1"/>
  <c r="L562" i="1"/>
  <c r="N562" i="1" s="1"/>
  <c r="U561" i="1"/>
  <c r="T561" i="1"/>
  <c r="Y561" i="1" s="1"/>
  <c r="L561" i="1"/>
  <c r="N561" i="1" s="1"/>
  <c r="U560" i="1"/>
  <c r="T560" i="1"/>
  <c r="Y560" i="1" s="1"/>
  <c r="L560" i="1"/>
  <c r="U559" i="1"/>
  <c r="T559" i="1"/>
  <c r="Y559" i="1" s="1"/>
  <c r="L559" i="1"/>
  <c r="N559" i="1" s="1"/>
  <c r="U558" i="1"/>
  <c r="T558" i="1"/>
  <c r="Y558" i="1" s="1"/>
  <c r="L558" i="1"/>
  <c r="N558" i="1" s="1"/>
  <c r="U557" i="1"/>
  <c r="T557" i="1"/>
  <c r="Y557" i="1" s="1"/>
  <c r="L557" i="1"/>
  <c r="U556" i="1"/>
  <c r="T556" i="1"/>
  <c r="Y556" i="1" s="1"/>
  <c r="L556" i="1"/>
  <c r="U555" i="1"/>
  <c r="T555" i="1"/>
  <c r="Y555" i="1" s="1"/>
  <c r="L555" i="1"/>
  <c r="Y554" i="1"/>
  <c r="U554" i="1"/>
  <c r="T554" i="1"/>
  <c r="L554" i="1"/>
  <c r="N554" i="1" s="1"/>
  <c r="U553" i="1"/>
  <c r="T553" i="1"/>
  <c r="Y553" i="1" s="1"/>
  <c r="L553" i="1"/>
  <c r="N553" i="1" s="1"/>
  <c r="U552" i="1"/>
  <c r="T552" i="1"/>
  <c r="Y552" i="1" s="1"/>
  <c r="L552" i="1"/>
  <c r="N552" i="1" s="1"/>
  <c r="U551" i="1"/>
  <c r="T551" i="1"/>
  <c r="Y551" i="1" s="1"/>
  <c r="L551" i="1"/>
  <c r="U550" i="1"/>
  <c r="T550" i="1"/>
  <c r="Y550" i="1" s="1"/>
  <c r="L550" i="1"/>
  <c r="N550" i="1" s="1"/>
  <c r="U549" i="1"/>
  <c r="T549" i="1"/>
  <c r="Y549" i="1" s="1"/>
  <c r="L549" i="1"/>
  <c r="U548" i="1"/>
  <c r="T548" i="1"/>
  <c r="Y548" i="1" s="1"/>
  <c r="L548" i="1"/>
  <c r="N548" i="1" s="1"/>
  <c r="U547" i="1"/>
  <c r="T547" i="1"/>
  <c r="Y547" i="1" s="1"/>
  <c r="L547" i="1"/>
  <c r="U546" i="1"/>
  <c r="T546" i="1"/>
  <c r="Y546" i="1" s="1"/>
  <c r="L546" i="1"/>
  <c r="U545" i="1"/>
  <c r="T545" i="1"/>
  <c r="Y545" i="1" s="1"/>
  <c r="L545" i="1"/>
  <c r="U544" i="1"/>
  <c r="T544" i="1"/>
  <c r="Y544" i="1" s="1"/>
  <c r="L544" i="1"/>
  <c r="U543" i="1"/>
  <c r="T543" i="1"/>
  <c r="Y543" i="1" s="1"/>
  <c r="L543" i="1"/>
  <c r="U542" i="1"/>
  <c r="T542" i="1"/>
  <c r="Y542" i="1" s="1"/>
  <c r="L542" i="1"/>
  <c r="N542" i="1" s="1"/>
  <c r="U541" i="1"/>
  <c r="T541" i="1"/>
  <c r="Y541" i="1" s="1"/>
  <c r="L541" i="1"/>
  <c r="U540" i="1"/>
  <c r="T540" i="1"/>
  <c r="Y540" i="1" s="1"/>
  <c r="L540" i="1"/>
  <c r="N540" i="1" s="1"/>
  <c r="U539" i="1"/>
  <c r="T539" i="1"/>
  <c r="Y539" i="1" s="1"/>
  <c r="N539" i="1"/>
  <c r="L539" i="1"/>
  <c r="U538" i="1"/>
  <c r="T538" i="1"/>
  <c r="Y538" i="1" s="1"/>
  <c r="L538" i="1"/>
  <c r="N538" i="1" s="1"/>
  <c r="U537" i="1"/>
  <c r="T537" i="1"/>
  <c r="Y537" i="1" s="1"/>
  <c r="L537" i="1"/>
  <c r="N537" i="1" s="1"/>
  <c r="U536" i="1"/>
  <c r="T536" i="1"/>
  <c r="Y536" i="1" s="1"/>
  <c r="L536" i="1"/>
  <c r="N536" i="1" s="1"/>
  <c r="U535" i="1"/>
  <c r="T535" i="1"/>
  <c r="Y535" i="1" s="1"/>
  <c r="L535" i="1"/>
  <c r="N535" i="1" s="1"/>
  <c r="U534" i="1"/>
  <c r="T534" i="1"/>
  <c r="Y534" i="1" s="1"/>
  <c r="L534" i="1"/>
  <c r="N534" i="1" s="1"/>
  <c r="U533" i="1"/>
  <c r="T533" i="1"/>
  <c r="Y533" i="1" s="1"/>
  <c r="L533" i="1"/>
  <c r="N533" i="1" s="1"/>
  <c r="U532" i="1"/>
  <c r="T532" i="1"/>
  <c r="Y532" i="1" s="1"/>
  <c r="L532" i="1"/>
  <c r="N532" i="1" s="1"/>
  <c r="U531" i="1"/>
  <c r="T531" i="1"/>
  <c r="Y531" i="1" s="1"/>
  <c r="L531" i="1"/>
  <c r="U530" i="1"/>
  <c r="T530" i="1"/>
  <c r="Y530" i="1" s="1"/>
  <c r="L530" i="1"/>
  <c r="N530" i="1" s="1"/>
  <c r="U529" i="1"/>
  <c r="T529" i="1"/>
  <c r="Y529" i="1" s="1"/>
  <c r="L529" i="1"/>
  <c r="N529" i="1" s="1"/>
  <c r="U528" i="1"/>
  <c r="T528" i="1"/>
  <c r="Y528" i="1" s="1"/>
  <c r="L528" i="1"/>
  <c r="N528" i="1" s="1"/>
  <c r="U527" i="1"/>
  <c r="T527" i="1"/>
  <c r="Y527" i="1" s="1"/>
  <c r="L527" i="1"/>
  <c r="N527" i="1" s="1"/>
  <c r="U526" i="1"/>
  <c r="T526" i="1"/>
  <c r="Y526" i="1" s="1"/>
  <c r="L526" i="1"/>
  <c r="U525" i="1"/>
  <c r="T525" i="1"/>
  <c r="Y525" i="1" s="1"/>
  <c r="L525" i="1"/>
  <c r="U524" i="1"/>
  <c r="T524" i="1"/>
  <c r="Y524" i="1" s="1"/>
  <c r="L524" i="1"/>
  <c r="U523" i="1"/>
  <c r="T523" i="1"/>
  <c r="Y523" i="1" s="1"/>
  <c r="L523" i="1"/>
  <c r="U522" i="1"/>
  <c r="T522" i="1"/>
  <c r="Y522" i="1" s="1"/>
  <c r="L522" i="1"/>
  <c r="U521" i="1"/>
  <c r="T521" i="1"/>
  <c r="Y521" i="1" s="1"/>
  <c r="L521" i="1"/>
  <c r="N521" i="1" s="1"/>
  <c r="U520" i="1"/>
  <c r="T520" i="1"/>
  <c r="Y520" i="1" s="1"/>
  <c r="L520" i="1"/>
  <c r="N520" i="1" s="1"/>
  <c r="U519" i="1"/>
  <c r="T519" i="1"/>
  <c r="Y519" i="1" s="1"/>
  <c r="L519" i="1"/>
  <c r="N519" i="1" s="1"/>
  <c r="U518" i="1"/>
  <c r="T518" i="1"/>
  <c r="Y518" i="1" s="1"/>
  <c r="L518" i="1"/>
  <c r="N518" i="1" s="1"/>
  <c r="U517" i="1"/>
  <c r="T517" i="1"/>
  <c r="Y517" i="1" s="1"/>
  <c r="L517" i="1"/>
  <c r="U516" i="1"/>
  <c r="T516" i="1"/>
  <c r="Y516" i="1" s="1"/>
  <c r="L516" i="1"/>
  <c r="N516" i="1" s="1"/>
  <c r="U515" i="1"/>
  <c r="T515" i="1"/>
  <c r="Y515" i="1" s="1"/>
  <c r="L515" i="1"/>
  <c r="U514" i="1"/>
  <c r="T514" i="1"/>
  <c r="Y514" i="1" s="1"/>
  <c r="L514" i="1"/>
  <c r="U513" i="1"/>
  <c r="T513" i="1"/>
  <c r="Y513" i="1" s="1"/>
  <c r="L513" i="1"/>
  <c r="U512" i="1"/>
  <c r="T512" i="1"/>
  <c r="Y512" i="1" s="1"/>
  <c r="L512" i="1"/>
  <c r="N512" i="1" s="1"/>
  <c r="U511" i="1"/>
  <c r="T511" i="1"/>
  <c r="Y511" i="1" s="1"/>
  <c r="L511" i="1"/>
  <c r="N511" i="1" s="1"/>
  <c r="U510" i="1"/>
  <c r="T510" i="1"/>
  <c r="Y510" i="1" s="1"/>
  <c r="L510" i="1"/>
  <c r="N510" i="1" s="1"/>
  <c r="U509" i="1"/>
  <c r="T509" i="1"/>
  <c r="Y509" i="1" s="1"/>
  <c r="L509" i="1"/>
  <c r="U508" i="1"/>
  <c r="T508" i="1"/>
  <c r="Y508" i="1" s="1"/>
  <c r="L508" i="1"/>
  <c r="U507" i="1"/>
  <c r="T507" i="1"/>
  <c r="Y507" i="1" s="1"/>
  <c r="L507" i="1"/>
  <c r="N507" i="1" s="1"/>
  <c r="U506" i="1"/>
  <c r="T506" i="1"/>
  <c r="Y506" i="1" s="1"/>
  <c r="L506" i="1"/>
  <c r="N506" i="1" s="1"/>
  <c r="U505" i="1"/>
  <c r="T505" i="1"/>
  <c r="Y505" i="1" s="1"/>
  <c r="L505" i="1"/>
  <c r="N505" i="1" s="1"/>
  <c r="U504" i="1"/>
  <c r="T504" i="1"/>
  <c r="Y504" i="1" s="1"/>
  <c r="L504" i="1"/>
  <c r="N504" i="1" s="1"/>
  <c r="U503" i="1"/>
  <c r="T503" i="1"/>
  <c r="Y503" i="1" s="1"/>
  <c r="L503" i="1"/>
  <c r="N503" i="1" s="1"/>
  <c r="U502" i="1"/>
  <c r="T502" i="1"/>
  <c r="Y502" i="1" s="1"/>
  <c r="L502" i="1"/>
  <c r="N502" i="1" s="1"/>
  <c r="U501" i="1"/>
  <c r="T501" i="1"/>
  <c r="Y501" i="1" s="1"/>
  <c r="L501" i="1"/>
  <c r="U500" i="1"/>
  <c r="T500" i="1"/>
  <c r="Y500" i="1" s="1"/>
  <c r="L500" i="1"/>
  <c r="U499" i="1"/>
  <c r="T499" i="1"/>
  <c r="Y499" i="1" s="1"/>
  <c r="L499" i="1"/>
  <c r="N499" i="1" s="1"/>
  <c r="U498" i="1"/>
  <c r="T498" i="1"/>
  <c r="Y498" i="1" s="1"/>
  <c r="L498" i="1"/>
  <c r="N498" i="1" s="1"/>
  <c r="U497" i="1"/>
  <c r="T497" i="1"/>
  <c r="Y497" i="1" s="1"/>
  <c r="L497" i="1"/>
  <c r="U496" i="1"/>
  <c r="T496" i="1"/>
  <c r="Y496" i="1" s="1"/>
  <c r="L496" i="1"/>
  <c r="U495" i="1"/>
  <c r="T495" i="1"/>
  <c r="Y495" i="1" s="1"/>
  <c r="L495" i="1"/>
  <c r="N495" i="1" s="1"/>
  <c r="U494" i="1"/>
  <c r="T494" i="1"/>
  <c r="Y494" i="1" s="1"/>
  <c r="L494" i="1"/>
  <c r="U493" i="1"/>
  <c r="T493" i="1"/>
  <c r="Y493" i="1" s="1"/>
  <c r="L493" i="1"/>
  <c r="N493" i="1" s="1"/>
  <c r="U492" i="1"/>
  <c r="T492" i="1"/>
  <c r="Y492" i="1" s="1"/>
  <c r="L492" i="1"/>
  <c r="U491" i="1"/>
  <c r="T491" i="1"/>
  <c r="Y491" i="1" s="1"/>
  <c r="L491" i="1"/>
  <c r="N491" i="1" s="1"/>
  <c r="U490" i="1"/>
  <c r="T490" i="1"/>
  <c r="Y490" i="1" s="1"/>
  <c r="L490" i="1"/>
  <c r="U489" i="1"/>
  <c r="T489" i="1"/>
  <c r="Y489" i="1" s="1"/>
  <c r="L489" i="1"/>
  <c r="U488" i="1"/>
  <c r="T488" i="1"/>
  <c r="Y488" i="1" s="1"/>
  <c r="L488" i="1"/>
  <c r="N488" i="1" s="1"/>
  <c r="U487" i="1"/>
  <c r="T487" i="1"/>
  <c r="Y487" i="1" s="1"/>
  <c r="L487" i="1"/>
  <c r="U486" i="1"/>
  <c r="T486" i="1"/>
  <c r="Y486" i="1" s="1"/>
  <c r="L486" i="1"/>
  <c r="N486" i="1" s="1"/>
  <c r="U485" i="1"/>
  <c r="T485" i="1"/>
  <c r="Y485" i="1" s="1"/>
  <c r="L485" i="1"/>
  <c r="U484" i="1"/>
  <c r="T484" i="1"/>
  <c r="Y484" i="1" s="1"/>
  <c r="L484" i="1"/>
  <c r="U483" i="1"/>
  <c r="T483" i="1"/>
  <c r="Y483" i="1" s="1"/>
  <c r="L483" i="1"/>
  <c r="N483" i="1" s="1"/>
  <c r="U482" i="1"/>
  <c r="T482" i="1"/>
  <c r="Y482" i="1" s="1"/>
  <c r="L482" i="1"/>
  <c r="N482" i="1" s="1"/>
  <c r="U481" i="1"/>
  <c r="T481" i="1"/>
  <c r="Y481" i="1" s="1"/>
  <c r="L481" i="1"/>
  <c r="N481" i="1" s="1"/>
  <c r="U480" i="1"/>
  <c r="T480" i="1"/>
  <c r="Y480" i="1" s="1"/>
  <c r="L480" i="1"/>
  <c r="N480" i="1" s="1"/>
  <c r="U479" i="1"/>
  <c r="T479" i="1"/>
  <c r="Y479" i="1" s="1"/>
  <c r="L479" i="1"/>
  <c r="U478" i="1"/>
  <c r="T478" i="1"/>
  <c r="Y478" i="1" s="1"/>
  <c r="L478" i="1"/>
  <c r="N478" i="1" s="1"/>
  <c r="U477" i="1"/>
  <c r="T477" i="1"/>
  <c r="Y477" i="1" s="1"/>
  <c r="L477" i="1"/>
  <c r="N477" i="1" s="1"/>
  <c r="U476" i="1"/>
  <c r="T476" i="1"/>
  <c r="Y476" i="1" s="1"/>
  <c r="L476" i="1"/>
  <c r="U475" i="1"/>
  <c r="T475" i="1"/>
  <c r="Y475" i="1" s="1"/>
  <c r="L475" i="1"/>
  <c r="N475" i="1" s="1"/>
  <c r="U474" i="1"/>
  <c r="T474" i="1"/>
  <c r="Y474" i="1" s="1"/>
  <c r="L474" i="1"/>
  <c r="N474" i="1" s="1"/>
  <c r="U473" i="1"/>
  <c r="T473" i="1"/>
  <c r="Y473" i="1" s="1"/>
  <c r="L473" i="1"/>
  <c r="N473" i="1" s="1"/>
  <c r="U472" i="1"/>
  <c r="T472" i="1"/>
  <c r="Y472" i="1" s="1"/>
  <c r="L472" i="1"/>
  <c r="N472" i="1" s="1"/>
  <c r="U471" i="1"/>
  <c r="T471" i="1"/>
  <c r="Y471" i="1" s="1"/>
  <c r="L471" i="1"/>
  <c r="U470" i="1"/>
  <c r="T470" i="1"/>
  <c r="Y470" i="1" s="1"/>
  <c r="L470" i="1"/>
  <c r="N470" i="1" s="1"/>
  <c r="U469" i="1"/>
  <c r="T469" i="1"/>
  <c r="Y469" i="1" s="1"/>
  <c r="L469" i="1"/>
  <c r="N469" i="1" s="1"/>
  <c r="U468" i="1"/>
  <c r="T468" i="1"/>
  <c r="Y468" i="1" s="1"/>
  <c r="L468" i="1"/>
  <c r="N468" i="1" s="1"/>
  <c r="U467" i="1"/>
  <c r="T467" i="1"/>
  <c r="Y467" i="1" s="1"/>
  <c r="L467" i="1"/>
  <c r="U466" i="1"/>
  <c r="T466" i="1"/>
  <c r="Y466" i="1" s="1"/>
  <c r="L466" i="1"/>
  <c r="U465" i="1"/>
  <c r="T465" i="1"/>
  <c r="Y465" i="1" s="1"/>
  <c r="L465" i="1"/>
  <c r="U464" i="1"/>
  <c r="T464" i="1"/>
  <c r="Y464" i="1" s="1"/>
  <c r="L464" i="1"/>
  <c r="U463" i="1"/>
  <c r="T463" i="1"/>
  <c r="Y463" i="1" s="1"/>
  <c r="L463" i="1"/>
  <c r="N463" i="1" s="1"/>
  <c r="U462" i="1"/>
  <c r="T462" i="1"/>
  <c r="Y462" i="1" s="1"/>
  <c r="L462" i="1"/>
  <c r="N462" i="1" s="1"/>
  <c r="U461" i="1"/>
  <c r="T461" i="1"/>
  <c r="Y461" i="1" s="1"/>
  <c r="L461" i="1"/>
  <c r="U460" i="1"/>
  <c r="T460" i="1"/>
  <c r="Y460" i="1" s="1"/>
  <c r="L460" i="1"/>
  <c r="U459" i="1"/>
  <c r="T459" i="1"/>
  <c r="Y459" i="1" s="1"/>
  <c r="L459" i="1"/>
  <c r="U458" i="1"/>
  <c r="T458" i="1"/>
  <c r="Y458" i="1" s="1"/>
  <c r="L458" i="1"/>
  <c r="U457" i="1"/>
  <c r="T457" i="1"/>
  <c r="Y457" i="1" s="1"/>
  <c r="L457" i="1"/>
  <c r="U456" i="1"/>
  <c r="T456" i="1"/>
  <c r="Y456" i="1" s="1"/>
  <c r="L456" i="1"/>
  <c r="U455" i="1"/>
  <c r="T455" i="1"/>
  <c r="Y455" i="1" s="1"/>
  <c r="L455" i="1"/>
  <c r="N455" i="1" s="1"/>
  <c r="U454" i="1"/>
  <c r="T454" i="1"/>
  <c r="Y454" i="1" s="1"/>
  <c r="L454" i="1"/>
  <c r="N454" i="1" s="1"/>
  <c r="U453" i="1"/>
  <c r="T453" i="1"/>
  <c r="Y453" i="1" s="1"/>
  <c r="N453" i="1"/>
  <c r="L453" i="1"/>
  <c r="U452" i="1"/>
  <c r="T452" i="1"/>
  <c r="Y452" i="1" s="1"/>
  <c r="L452" i="1"/>
  <c r="N452" i="1" s="1"/>
  <c r="U451" i="1"/>
  <c r="T451" i="1"/>
  <c r="Y451" i="1" s="1"/>
  <c r="L451" i="1"/>
  <c r="N451" i="1" s="1"/>
  <c r="U450" i="1"/>
  <c r="T450" i="1"/>
  <c r="Y450" i="1" s="1"/>
  <c r="L450" i="1"/>
  <c r="N450" i="1" s="1"/>
  <c r="U449" i="1"/>
  <c r="T449" i="1"/>
  <c r="Y449" i="1" s="1"/>
  <c r="L449" i="1"/>
  <c r="U448" i="1"/>
  <c r="T448" i="1"/>
  <c r="Y448" i="1" s="1"/>
  <c r="L448" i="1"/>
  <c r="U447" i="1"/>
  <c r="T447" i="1"/>
  <c r="Y447" i="1" s="1"/>
  <c r="L447" i="1"/>
  <c r="U446" i="1"/>
  <c r="T446" i="1"/>
  <c r="Y446" i="1" s="1"/>
  <c r="L446" i="1"/>
  <c r="N446" i="1" s="1"/>
  <c r="U445" i="1"/>
  <c r="T445" i="1"/>
  <c r="Y445" i="1" s="1"/>
  <c r="L445" i="1"/>
  <c r="N445" i="1" s="1"/>
  <c r="U444" i="1"/>
  <c r="T444" i="1"/>
  <c r="Y444" i="1" s="1"/>
  <c r="L444" i="1"/>
  <c r="N444" i="1" s="1"/>
  <c r="U443" i="1"/>
  <c r="T443" i="1"/>
  <c r="Y443" i="1" s="1"/>
  <c r="L443" i="1"/>
  <c r="U442" i="1"/>
  <c r="T442" i="1"/>
  <c r="Y442" i="1" s="1"/>
  <c r="L442" i="1"/>
  <c r="U441" i="1"/>
  <c r="T441" i="1"/>
  <c r="Y441" i="1" s="1"/>
  <c r="L441" i="1"/>
  <c r="U440" i="1"/>
  <c r="T440" i="1"/>
  <c r="Y440" i="1" s="1"/>
  <c r="L440" i="1"/>
  <c r="N440" i="1" s="1"/>
  <c r="U439" i="1"/>
  <c r="T439" i="1"/>
  <c r="Y439" i="1" s="1"/>
  <c r="L439" i="1"/>
  <c r="U438" i="1"/>
  <c r="T438" i="1"/>
  <c r="Y438" i="1" s="1"/>
  <c r="L438" i="1"/>
  <c r="N438" i="1" s="1"/>
  <c r="U437" i="1"/>
  <c r="T437" i="1"/>
  <c r="Y437" i="1" s="1"/>
  <c r="L437" i="1"/>
  <c r="N437" i="1" s="1"/>
  <c r="U436" i="1"/>
  <c r="T436" i="1"/>
  <c r="Y436" i="1" s="1"/>
  <c r="L436" i="1"/>
  <c r="N436" i="1" s="1"/>
  <c r="U435" i="1"/>
  <c r="T435" i="1"/>
  <c r="Y435" i="1" s="1"/>
  <c r="L435" i="1"/>
  <c r="N435" i="1" s="1"/>
  <c r="U434" i="1"/>
  <c r="T434" i="1"/>
  <c r="Y434" i="1" s="1"/>
  <c r="L434" i="1"/>
  <c r="N434" i="1" s="1"/>
  <c r="U433" i="1"/>
  <c r="T433" i="1"/>
  <c r="Y433" i="1" s="1"/>
  <c r="L433" i="1"/>
  <c r="N433" i="1" s="1"/>
  <c r="U432" i="1"/>
  <c r="T432" i="1"/>
  <c r="Y432" i="1" s="1"/>
  <c r="L432" i="1"/>
  <c r="N432" i="1" s="1"/>
  <c r="U431" i="1"/>
  <c r="T431" i="1"/>
  <c r="Y431" i="1" s="1"/>
  <c r="L431" i="1"/>
  <c r="N431" i="1" s="1"/>
  <c r="U430" i="1"/>
  <c r="T430" i="1"/>
  <c r="Y430" i="1" s="1"/>
  <c r="L430" i="1"/>
  <c r="N430" i="1" s="1"/>
  <c r="U429" i="1"/>
  <c r="T429" i="1"/>
  <c r="Y429" i="1" s="1"/>
  <c r="L429" i="1"/>
  <c r="N429" i="1" s="1"/>
  <c r="U428" i="1"/>
  <c r="T428" i="1"/>
  <c r="Y428" i="1" s="1"/>
  <c r="L428" i="1"/>
  <c r="N428" i="1" s="1"/>
  <c r="U427" i="1"/>
  <c r="T427" i="1"/>
  <c r="Y427" i="1" s="1"/>
  <c r="L427" i="1"/>
  <c r="U426" i="1"/>
  <c r="T426" i="1"/>
  <c r="Y426" i="1" s="1"/>
  <c r="L426" i="1"/>
  <c r="U425" i="1"/>
  <c r="T425" i="1"/>
  <c r="Y425" i="1" s="1"/>
  <c r="L425" i="1"/>
  <c r="U424" i="1"/>
  <c r="T424" i="1"/>
  <c r="Y424" i="1" s="1"/>
  <c r="L424" i="1"/>
  <c r="N424" i="1" s="1"/>
  <c r="U423" i="1"/>
  <c r="T423" i="1"/>
  <c r="Y423" i="1" s="1"/>
  <c r="L423" i="1"/>
  <c r="U422" i="1"/>
  <c r="T422" i="1"/>
  <c r="Y422" i="1" s="1"/>
  <c r="L422" i="1"/>
  <c r="N422" i="1" s="1"/>
  <c r="U421" i="1"/>
  <c r="T421" i="1"/>
  <c r="Y421" i="1" s="1"/>
  <c r="L421" i="1"/>
  <c r="N421" i="1" s="1"/>
  <c r="U420" i="1"/>
  <c r="T420" i="1"/>
  <c r="Y420" i="1" s="1"/>
  <c r="L420" i="1"/>
  <c r="N420" i="1" s="1"/>
  <c r="U419" i="1"/>
  <c r="T419" i="1"/>
  <c r="Y419" i="1" s="1"/>
  <c r="L419" i="1"/>
  <c r="N419" i="1" s="1"/>
  <c r="U418" i="1"/>
  <c r="T418" i="1"/>
  <c r="Y418" i="1" s="1"/>
  <c r="L418" i="1"/>
  <c r="N418" i="1" s="1"/>
  <c r="U417" i="1"/>
  <c r="T417" i="1"/>
  <c r="Y417" i="1" s="1"/>
  <c r="L417" i="1"/>
  <c r="U416" i="1"/>
  <c r="T416" i="1"/>
  <c r="Y416" i="1" s="1"/>
  <c r="L416" i="1"/>
  <c r="N416" i="1" s="1"/>
  <c r="U415" i="1"/>
  <c r="T415" i="1"/>
  <c r="Y415" i="1" s="1"/>
  <c r="L415" i="1"/>
  <c r="N415" i="1" s="1"/>
  <c r="U414" i="1"/>
  <c r="T414" i="1"/>
  <c r="Y414" i="1" s="1"/>
  <c r="L414" i="1"/>
  <c r="N414" i="1" s="1"/>
  <c r="U413" i="1"/>
  <c r="T413" i="1"/>
  <c r="Y413" i="1" s="1"/>
  <c r="L413" i="1"/>
  <c r="N413" i="1" s="1"/>
  <c r="U412" i="1"/>
  <c r="T412" i="1"/>
  <c r="Y412" i="1" s="1"/>
  <c r="L412" i="1"/>
  <c r="N412" i="1" s="1"/>
  <c r="U411" i="1"/>
  <c r="T411" i="1"/>
  <c r="Y411" i="1" s="1"/>
  <c r="L411" i="1"/>
  <c r="N411" i="1" s="1"/>
  <c r="U410" i="1"/>
  <c r="T410" i="1"/>
  <c r="Y410" i="1" s="1"/>
  <c r="L410" i="1"/>
  <c r="N410" i="1" s="1"/>
  <c r="U409" i="1"/>
  <c r="T409" i="1"/>
  <c r="Y409" i="1" s="1"/>
  <c r="L409" i="1"/>
  <c r="N409" i="1" s="1"/>
  <c r="U408" i="1"/>
  <c r="T408" i="1"/>
  <c r="Y408" i="1" s="1"/>
  <c r="L408" i="1"/>
  <c r="N408" i="1" s="1"/>
  <c r="U407" i="1"/>
  <c r="T407" i="1"/>
  <c r="Y407" i="1" s="1"/>
  <c r="L407" i="1"/>
  <c r="N407" i="1" s="1"/>
  <c r="U406" i="1"/>
  <c r="T406" i="1"/>
  <c r="Y406" i="1" s="1"/>
  <c r="L406" i="1"/>
  <c r="N406" i="1" s="1"/>
  <c r="U405" i="1"/>
  <c r="T405" i="1"/>
  <c r="Y405" i="1" s="1"/>
  <c r="L405" i="1"/>
  <c r="U404" i="1"/>
  <c r="T404" i="1"/>
  <c r="Y404" i="1" s="1"/>
  <c r="L404" i="1"/>
  <c r="U403" i="1"/>
  <c r="T403" i="1"/>
  <c r="Y403" i="1" s="1"/>
  <c r="L403" i="1"/>
  <c r="N403" i="1" s="1"/>
  <c r="U402" i="1"/>
  <c r="T402" i="1"/>
  <c r="Y402" i="1" s="1"/>
  <c r="L402" i="1"/>
  <c r="U401" i="1"/>
  <c r="T401" i="1"/>
  <c r="Y401" i="1" s="1"/>
  <c r="L401" i="1"/>
  <c r="N401" i="1" s="1"/>
  <c r="U400" i="1"/>
  <c r="T400" i="1"/>
  <c r="Y400" i="1" s="1"/>
  <c r="L400" i="1"/>
  <c r="N400" i="1" s="1"/>
  <c r="U399" i="1"/>
  <c r="T399" i="1"/>
  <c r="Y399" i="1" s="1"/>
  <c r="L399" i="1"/>
  <c r="N399" i="1" s="1"/>
  <c r="U398" i="1"/>
  <c r="T398" i="1"/>
  <c r="Y398" i="1" s="1"/>
  <c r="L398" i="1"/>
  <c r="N398" i="1" s="1"/>
  <c r="U397" i="1"/>
  <c r="T397" i="1"/>
  <c r="Y397" i="1" s="1"/>
  <c r="L397" i="1"/>
  <c r="N397" i="1" s="1"/>
  <c r="U396" i="1"/>
  <c r="T396" i="1"/>
  <c r="Y396" i="1" s="1"/>
  <c r="L396" i="1"/>
  <c r="N396" i="1" s="1"/>
  <c r="U395" i="1"/>
  <c r="T395" i="1"/>
  <c r="Y395" i="1" s="1"/>
  <c r="L395" i="1"/>
  <c r="U394" i="1"/>
  <c r="T394" i="1"/>
  <c r="Y394" i="1" s="1"/>
  <c r="L394" i="1"/>
  <c r="U393" i="1"/>
  <c r="T393" i="1"/>
  <c r="Y393" i="1" s="1"/>
  <c r="L393" i="1"/>
  <c r="N393" i="1" s="1"/>
  <c r="U392" i="1"/>
  <c r="T392" i="1"/>
  <c r="Y392" i="1" s="1"/>
  <c r="L392" i="1"/>
  <c r="N392" i="1" s="1"/>
  <c r="U391" i="1"/>
  <c r="T391" i="1"/>
  <c r="Y391" i="1" s="1"/>
  <c r="L391" i="1"/>
  <c r="N391" i="1" s="1"/>
  <c r="U390" i="1"/>
  <c r="T390" i="1"/>
  <c r="Y390" i="1" s="1"/>
  <c r="L390" i="1"/>
  <c r="N390" i="1" s="1"/>
  <c r="U389" i="1"/>
  <c r="T389" i="1"/>
  <c r="Y389" i="1" s="1"/>
  <c r="L389" i="1"/>
  <c r="U388" i="1"/>
  <c r="T388" i="1"/>
  <c r="Y388" i="1" s="1"/>
  <c r="L388" i="1"/>
  <c r="N388" i="1" s="1"/>
  <c r="U387" i="1"/>
  <c r="T387" i="1"/>
  <c r="Y387" i="1" s="1"/>
  <c r="L387" i="1"/>
  <c r="N387" i="1" s="1"/>
  <c r="U386" i="1"/>
  <c r="T386" i="1"/>
  <c r="Y386" i="1" s="1"/>
  <c r="L386" i="1"/>
  <c r="N386" i="1" s="1"/>
  <c r="U385" i="1"/>
  <c r="T385" i="1"/>
  <c r="Y385" i="1" s="1"/>
  <c r="L385" i="1"/>
  <c r="U384" i="1"/>
  <c r="T384" i="1"/>
  <c r="Y384" i="1" s="1"/>
  <c r="L384" i="1"/>
  <c r="N384" i="1" s="1"/>
  <c r="U383" i="1"/>
  <c r="T383" i="1"/>
  <c r="Y383" i="1" s="1"/>
  <c r="L383" i="1"/>
  <c r="N383" i="1" s="1"/>
  <c r="U382" i="1"/>
  <c r="T382" i="1"/>
  <c r="Y382" i="1" s="1"/>
  <c r="L382" i="1"/>
  <c r="U381" i="1"/>
  <c r="T381" i="1"/>
  <c r="Y381" i="1" s="1"/>
  <c r="L381" i="1"/>
  <c r="N381" i="1" s="1"/>
  <c r="U380" i="1"/>
  <c r="T380" i="1"/>
  <c r="Y380" i="1" s="1"/>
  <c r="L380" i="1"/>
  <c r="N380" i="1" s="1"/>
  <c r="U379" i="1"/>
  <c r="T379" i="1"/>
  <c r="Y379" i="1" s="1"/>
  <c r="L379" i="1"/>
  <c r="U378" i="1"/>
  <c r="T378" i="1"/>
  <c r="Y378" i="1" s="1"/>
  <c r="L378" i="1"/>
  <c r="U377" i="1"/>
  <c r="T377" i="1"/>
  <c r="Y377" i="1" s="1"/>
  <c r="L377" i="1"/>
  <c r="N377" i="1" s="1"/>
  <c r="U376" i="1"/>
  <c r="T376" i="1"/>
  <c r="Y376" i="1" s="1"/>
  <c r="L376" i="1"/>
  <c r="U375" i="1"/>
  <c r="T375" i="1"/>
  <c r="Y375" i="1" s="1"/>
  <c r="L375" i="1"/>
  <c r="N375" i="1" s="1"/>
  <c r="U374" i="1"/>
  <c r="T374" i="1"/>
  <c r="Y374" i="1" s="1"/>
  <c r="L374" i="1"/>
  <c r="U373" i="1"/>
  <c r="T373" i="1"/>
  <c r="Y373" i="1" s="1"/>
  <c r="L373" i="1"/>
  <c r="N373" i="1" s="1"/>
  <c r="U372" i="1"/>
  <c r="T372" i="1"/>
  <c r="Y372" i="1" s="1"/>
  <c r="L372" i="1"/>
  <c r="N372" i="1" s="1"/>
  <c r="U371" i="1"/>
  <c r="T371" i="1"/>
  <c r="Y371" i="1" s="1"/>
  <c r="L371" i="1"/>
  <c r="N371" i="1" s="1"/>
  <c r="U370" i="1"/>
  <c r="T370" i="1"/>
  <c r="Y370" i="1" s="1"/>
  <c r="L370" i="1"/>
  <c r="U369" i="1"/>
  <c r="T369" i="1"/>
  <c r="Y369" i="1" s="1"/>
  <c r="L369" i="1"/>
  <c r="N369" i="1" s="1"/>
  <c r="U368" i="1"/>
  <c r="T368" i="1"/>
  <c r="Y368" i="1" s="1"/>
  <c r="L368" i="1"/>
  <c r="N368" i="1" s="1"/>
  <c r="U367" i="1"/>
  <c r="T367" i="1"/>
  <c r="Y367" i="1" s="1"/>
  <c r="L367" i="1"/>
  <c r="N367" i="1" s="1"/>
  <c r="U366" i="1"/>
  <c r="T366" i="1"/>
  <c r="Y366" i="1" s="1"/>
  <c r="L366" i="1"/>
  <c r="U365" i="1"/>
  <c r="T365" i="1"/>
  <c r="Y365" i="1" s="1"/>
  <c r="L365" i="1"/>
  <c r="U364" i="1"/>
  <c r="T364" i="1"/>
  <c r="Y364" i="1" s="1"/>
  <c r="L364" i="1"/>
  <c r="U363" i="1"/>
  <c r="T363" i="1"/>
  <c r="Y363" i="1" s="1"/>
  <c r="L363" i="1"/>
  <c r="N363" i="1" s="1"/>
  <c r="U362" i="1"/>
  <c r="T362" i="1"/>
  <c r="Y362" i="1" s="1"/>
  <c r="L362" i="1"/>
  <c r="N362" i="1" s="1"/>
  <c r="U361" i="1"/>
  <c r="T361" i="1"/>
  <c r="Y361" i="1" s="1"/>
  <c r="L361" i="1"/>
  <c r="U360" i="1"/>
  <c r="T360" i="1"/>
  <c r="Y360" i="1" s="1"/>
  <c r="L360" i="1"/>
  <c r="N360" i="1" s="1"/>
  <c r="U359" i="1"/>
  <c r="T359" i="1"/>
  <c r="Y359" i="1" s="1"/>
  <c r="L359" i="1"/>
  <c r="N359" i="1" s="1"/>
  <c r="U358" i="1"/>
  <c r="T358" i="1"/>
  <c r="Y358" i="1" s="1"/>
  <c r="L358" i="1"/>
  <c r="N358" i="1" s="1"/>
  <c r="U357" i="1"/>
  <c r="T357" i="1"/>
  <c r="Y357" i="1" s="1"/>
  <c r="L357" i="1"/>
  <c r="N357" i="1" s="1"/>
  <c r="U356" i="1"/>
  <c r="T356" i="1"/>
  <c r="Y356" i="1" s="1"/>
  <c r="L356" i="1"/>
  <c r="U355" i="1"/>
  <c r="T355" i="1"/>
  <c r="Y355" i="1" s="1"/>
  <c r="L355" i="1"/>
  <c r="N355" i="1" s="1"/>
  <c r="U354" i="1"/>
  <c r="T354" i="1"/>
  <c r="Y354" i="1" s="1"/>
  <c r="L354" i="1"/>
  <c r="N354" i="1" s="1"/>
  <c r="U353" i="1"/>
  <c r="T353" i="1"/>
  <c r="Y353" i="1" s="1"/>
  <c r="L353" i="1"/>
  <c r="N353" i="1" s="1"/>
  <c r="U352" i="1"/>
  <c r="T352" i="1"/>
  <c r="Y352" i="1" s="1"/>
  <c r="L352" i="1"/>
  <c r="U351" i="1"/>
  <c r="T351" i="1"/>
  <c r="Y351" i="1" s="1"/>
  <c r="L351" i="1"/>
  <c r="N351" i="1" s="1"/>
  <c r="U350" i="1"/>
  <c r="T350" i="1"/>
  <c r="Y350" i="1" s="1"/>
  <c r="L350" i="1"/>
  <c r="U349" i="1"/>
  <c r="T349" i="1"/>
  <c r="Y349" i="1" s="1"/>
  <c r="L349" i="1"/>
  <c r="N349" i="1" s="1"/>
  <c r="U348" i="1"/>
  <c r="T348" i="1"/>
  <c r="Y348" i="1" s="1"/>
  <c r="L348" i="1"/>
  <c r="Y347" i="1"/>
  <c r="U347" i="1"/>
  <c r="T347" i="1"/>
  <c r="L347" i="1"/>
  <c r="U346" i="1"/>
  <c r="T346" i="1"/>
  <c r="Y346" i="1" s="1"/>
  <c r="L346" i="1"/>
  <c r="N346" i="1" s="1"/>
  <c r="U345" i="1"/>
  <c r="T345" i="1"/>
  <c r="Y345" i="1" s="1"/>
  <c r="L345" i="1"/>
  <c r="N345" i="1" s="1"/>
  <c r="U344" i="1"/>
  <c r="T344" i="1"/>
  <c r="Y344" i="1" s="1"/>
  <c r="L344" i="1"/>
  <c r="N344" i="1" s="1"/>
  <c r="U343" i="1"/>
  <c r="T343" i="1"/>
  <c r="Y343" i="1" s="1"/>
  <c r="L343" i="1"/>
  <c r="N343" i="1" s="1"/>
  <c r="U342" i="1"/>
  <c r="T342" i="1"/>
  <c r="Y342" i="1" s="1"/>
  <c r="L342" i="1"/>
  <c r="N342" i="1" s="1"/>
  <c r="U341" i="1"/>
  <c r="T341" i="1"/>
  <c r="Y341" i="1" s="1"/>
  <c r="L341" i="1"/>
  <c r="N341" i="1" s="1"/>
  <c r="U340" i="1"/>
  <c r="T340" i="1"/>
  <c r="Y340" i="1" s="1"/>
  <c r="L340" i="1"/>
  <c r="N340" i="1" s="1"/>
  <c r="U339" i="1"/>
  <c r="T339" i="1"/>
  <c r="Y339" i="1" s="1"/>
  <c r="L339" i="1"/>
  <c r="N339" i="1" s="1"/>
  <c r="U338" i="1"/>
  <c r="T338" i="1"/>
  <c r="Y338" i="1" s="1"/>
  <c r="L338" i="1"/>
  <c r="N338" i="1" s="1"/>
  <c r="Y337" i="1"/>
  <c r="U337" i="1"/>
  <c r="T337" i="1"/>
  <c r="L337" i="1"/>
  <c r="N337" i="1" s="1"/>
  <c r="U336" i="1"/>
  <c r="T336" i="1"/>
  <c r="Y336" i="1" s="1"/>
  <c r="L336" i="1"/>
  <c r="N336" i="1" s="1"/>
  <c r="U335" i="1"/>
  <c r="T335" i="1"/>
  <c r="Y335" i="1" s="1"/>
  <c r="L335" i="1"/>
  <c r="N335" i="1" s="1"/>
  <c r="U334" i="1"/>
  <c r="T334" i="1"/>
  <c r="Y334" i="1" s="1"/>
  <c r="L334" i="1"/>
  <c r="U333" i="1"/>
  <c r="T333" i="1"/>
  <c r="Y333" i="1" s="1"/>
  <c r="L333" i="1"/>
  <c r="N333" i="1" s="1"/>
  <c r="U332" i="1"/>
  <c r="T332" i="1"/>
  <c r="Y332" i="1" s="1"/>
  <c r="L332" i="1"/>
  <c r="U331" i="1"/>
  <c r="T331" i="1"/>
  <c r="Y331" i="1" s="1"/>
  <c r="L331" i="1"/>
  <c r="U330" i="1"/>
  <c r="T330" i="1"/>
  <c r="Y330" i="1" s="1"/>
  <c r="L330" i="1"/>
  <c r="U329" i="1"/>
  <c r="T329" i="1"/>
  <c r="Y329" i="1" s="1"/>
  <c r="L329" i="1"/>
  <c r="N329" i="1" s="1"/>
  <c r="U328" i="1"/>
  <c r="T328" i="1"/>
  <c r="Y328" i="1" s="1"/>
  <c r="L328" i="1"/>
  <c r="N328" i="1" s="1"/>
  <c r="U327" i="1"/>
  <c r="T327" i="1"/>
  <c r="Y327" i="1" s="1"/>
  <c r="L327" i="1"/>
  <c r="N327" i="1" s="1"/>
  <c r="U326" i="1"/>
  <c r="T326" i="1"/>
  <c r="Y326" i="1" s="1"/>
  <c r="L326" i="1"/>
  <c r="N326" i="1" s="1"/>
  <c r="U325" i="1"/>
  <c r="T325" i="1"/>
  <c r="Y325" i="1" s="1"/>
  <c r="L325" i="1"/>
  <c r="N325" i="1" s="1"/>
  <c r="U324" i="1"/>
  <c r="T324" i="1"/>
  <c r="Y324" i="1" s="1"/>
  <c r="L324" i="1"/>
  <c r="U323" i="1"/>
  <c r="T323" i="1"/>
  <c r="Y323" i="1" s="1"/>
  <c r="L323" i="1"/>
  <c r="U322" i="1"/>
  <c r="T322" i="1"/>
  <c r="Y322" i="1" s="1"/>
  <c r="L322" i="1"/>
  <c r="N322" i="1" s="1"/>
  <c r="U321" i="1"/>
  <c r="T321" i="1"/>
  <c r="Y321" i="1" s="1"/>
  <c r="L321" i="1"/>
  <c r="N321" i="1" s="1"/>
  <c r="U320" i="1"/>
  <c r="T320" i="1"/>
  <c r="Y320" i="1" s="1"/>
  <c r="L320" i="1"/>
  <c r="N320" i="1" s="1"/>
  <c r="U319" i="1"/>
  <c r="T319" i="1"/>
  <c r="Y319" i="1" s="1"/>
  <c r="L319" i="1"/>
  <c r="N319" i="1" s="1"/>
  <c r="U318" i="1"/>
  <c r="T318" i="1"/>
  <c r="Y318" i="1" s="1"/>
  <c r="L318" i="1"/>
  <c r="U317" i="1"/>
  <c r="T317" i="1"/>
  <c r="Y317" i="1" s="1"/>
  <c r="L317" i="1"/>
  <c r="N317" i="1" s="1"/>
  <c r="U316" i="1"/>
  <c r="T316" i="1"/>
  <c r="Y316" i="1" s="1"/>
  <c r="L316" i="1"/>
  <c r="N316" i="1" s="1"/>
  <c r="U315" i="1"/>
  <c r="T315" i="1"/>
  <c r="Y315" i="1" s="1"/>
  <c r="L315" i="1"/>
  <c r="N315" i="1" s="1"/>
  <c r="U314" i="1"/>
  <c r="T314" i="1"/>
  <c r="Y314" i="1" s="1"/>
  <c r="L314" i="1"/>
  <c r="U313" i="1"/>
  <c r="T313" i="1"/>
  <c r="Y313" i="1" s="1"/>
  <c r="L313" i="1"/>
  <c r="U312" i="1"/>
  <c r="T312" i="1"/>
  <c r="Y312" i="1" s="1"/>
  <c r="L312" i="1"/>
  <c r="N312" i="1" s="1"/>
  <c r="U311" i="1"/>
  <c r="T311" i="1"/>
  <c r="Y311" i="1" s="1"/>
  <c r="L311" i="1"/>
  <c r="Y310" i="1"/>
  <c r="U310" i="1"/>
  <c r="T310" i="1"/>
  <c r="L310" i="1"/>
  <c r="N310" i="1" s="1"/>
  <c r="U309" i="1"/>
  <c r="T309" i="1"/>
  <c r="Y309" i="1" s="1"/>
  <c r="L309" i="1"/>
  <c r="N309" i="1" s="1"/>
  <c r="U308" i="1"/>
  <c r="T308" i="1"/>
  <c r="Y308" i="1" s="1"/>
  <c r="L308" i="1"/>
  <c r="N308" i="1" s="1"/>
  <c r="U307" i="1"/>
  <c r="T307" i="1"/>
  <c r="Y307" i="1" s="1"/>
  <c r="L307" i="1"/>
  <c r="N307" i="1" s="1"/>
  <c r="U306" i="1"/>
  <c r="T306" i="1"/>
  <c r="Y306" i="1" s="1"/>
  <c r="L306" i="1"/>
  <c r="N306" i="1" s="1"/>
  <c r="U305" i="1"/>
  <c r="T305" i="1"/>
  <c r="Y305" i="1" s="1"/>
  <c r="L305" i="1"/>
  <c r="U304" i="1"/>
  <c r="T304" i="1"/>
  <c r="Y304" i="1" s="1"/>
  <c r="L304" i="1"/>
  <c r="N304" i="1" s="1"/>
  <c r="U303" i="1"/>
  <c r="T303" i="1"/>
  <c r="Y303" i="1" s="1"/>
  <c r="L303" i="1"/>
  <c r="N303" i="1" s="1"/>
  <c r="U302" i="1"/>
  <c r="T302" i="1"/>
  <c r="Y302" i="1" s="1"/>
  <c r="L302" i="1"/>
  <c r="U301" i="1"/>
  <c r="T301" i="1"/>
  <c r="Y301" i="1" s="1"/>
  <c r="L301" i="1"/>
  <c r="N301" i="1" s="1"/>
  <c r="U300" i="1"/>
  <c r="T300" i="1"/>
  <c r="Y300" i="1" s="1"/>
  <c r="L300" i="1"/>
  <c r="U299" i="1"/>
  <c r="T299" i="1"/>
  <c r="Y299" i="1" s="1"/>
  <c r="L299" i="1"/>
  <c r="N299" i="1" s="1"/>
  <c r="U298" i="1"/>
  <c r="T298" i="1"/>
  <c r="Y298" i="1" s="1"/>
  <c r="L298" i="1"/>
  <c r="N298" i="1" s="1"/>
  <c r="U297" i="1"/>
  <c r="T297" i="1"/>
  <c r="Y297" i="1" s="1"/>
  <c r="L297" i="1"/>
  <c r="U296" i="1"/>
  <c r="T296" i="1"/>
  <c r="Y296" i="1" s="1"/>
  <c r="L296" i="1"/>
  <c r="N296" i="1" s="1"/>
  <c r="U295" i="1"/>
  <c r="T295" i="1"/>
  <c r="Y295" i="1" s="1"/>
  <c r="L295" i="1"/>
  <c r="N295" i="1" s="1"/>
  <c r="U294" i="1"/>
  <c r="T294" i="1"/>
  <c r="Y294" i="1" s="1"/>
  <c r="L294" i="1"/>
  <c r="N294" i="1" s="1"/>
  <c r="U293" i="1"/>
  <c r="T293" i="1"/>
  <c r="Y293" i="1" s="1"/>
  <c r="L293" i="1"/>
  <c r="N293" i="1" s="1"/>
  <c r="U292" i="1"/>
  <c r="T292" i="1"/>
  <c r="Y292" i="1" s="1"/>
  <c r="L292" i="1"/>
  <c r="N292" i="1" s="1"/>
  <c r="U291" i="1"/>
  <c r="T291" i="1"/>
  <c r="Y291" i="1" s="1"/>
  <c r="L291" i="1"/>
  <c r="U290" i="1"/>
  <c r="T290" i="1"/>
  <c r="Y290" i="1" s="1"/>
  <c r="L290" i="1"/>
  <c r="N290" i="1" s="1"/>
  <c r="U289" i="1"/>
  <c r="T289" i="1"/>
  <c r="Y289" i="1" s="1"/>
  <c r="L289" i="1"/>
  <c r="U288" i="1"/>
  <c r="T288" i="1"/>
  <c r="Y288" i="1" s="1"/>
  <c r="L288" i="1"/>
  <c r="N288" i="1" s="1"/>
  <c r="U287" i="1"/>
  <c r="T287" i="1"/>
  <c r="Y287" i="1" s="1"/>
  <c r="L287" i="1"/>
  <c r="N287" i="1" s="1"/>
  <c r="U286" i="1"/>
  <c r="T286" i="1"/>
  <c r="Y286" i="1" s="1"/>
  <c r="L286" i="1"/>
  <c r="N286" i="1" s="1"/>
  <c r="U285" i="1"/>
  <c r="T285" i="1"/>
  <c r="Y285" i="1" s="1"/>
  <c r="L285" i="1"/>
  <c r="U284" i="1"/>
  <c r="T284" i="1"/>
  <c r="Y284" i="1" s="1"/>
  <c r="L284" i="1"/>
  <c r="N284" i="1" s="1"/>
  <c r="U283" i="1"/>
  <c r="T283" i="1"/>
  <c r="Y283" i="1" s="1"/>
  <c r="L283" i="1"/>
  <c r="N283" i="1" s="1"/>
  <c r="U282" i="1"/>
  <c r="T282" i="1"/>
  <c r="Y282" i="1" s="1"/>
  <c r="L282" i="1"/>
  <c r="N282" i="1" s="1"/>
  <c r="U281" i="1"/>
  <c r="T281" i="1"/>
  <c r="Y281" i="1" s="1"/>
  <c r="L281" i="1"/>
  <c r="U280" i="1"/>
  <c r="T280" i="1"/>
  <c r="Y280" i="1" s="1"/>
  <c r="L280" i="1"/>
  <c r="U279" i="1"/>
  <c r="T279" i="1"/>
  <c r="Y279" i="1" s="1"/>
  <c r="L279" i="1"/>
  <c r="U278" i="1"/>
  <c r="T278" i="1"/>
  <c r="Y278" i="1" s="1"/>
  <c r="L278" i="1"/>
  <c r="N278" i="1" s="1"/>
  <c r="U277" i="1"/>
  <c r="T277" i="1"/>
  <c r="Y277" i="1" s="1"/>
  <c r="L277" i="1"/>
  <c r="N277" i="1" s="1"/>
  <c r="U276" i="1"/>
  <c r="T276" i="1"/>
  <c r="Y276" i="1" s="1"/>
  <c r="L276" i="1"/>
  <c r="U275" i="1"/>
  <c r="T275" i="1"/>
  <c r="Y275" i="1" s="1"/>
  <c r="L275" i="1"/>
  <c r="N275" i="1" s="1"/>
  <c r="U274" i="1"/>
  <c r="T274" i="1"/>
  <c r="Y274" i="1" s="1"/>
  <c r="L274" i="1"/>
  <c r="N274" i="1" s="1"/>
  <c r="U273" i="1"/>
  <c r="T273" i="1"/>
  <c r="Y273" i="1" s="1"/>
  <c r="L273" i="1"/>
  <c r="N273" i="1" s="1"/>
  <c r="U272" i="1"/>
  <c r="T272" i="1"/>
  <c r="Y272" i="1" s="1"/>
  <c r="L272" i="1"/>
  <c r="U271" i="1"/>
  <c r="T271" i="1"/>
  <c r="Y271" i="1" s="1"/>
  <c r="L271" i="1"/>
  <c r="U270" i="1"/>
  <c r="T270" i="1"/>
  <c r="Y270" i="1" s="1"/>
  <c r="L270" i="1"/>
  <c r="U269" i="1"/>
  <c r="T269" i="1"/>
  <c r="Y269" i="1" s="1"/>
  <c r="L269" i="1"/>
  <c r="N269" i="1" s="1"/>
  <c r="U268" i="1"/>
  <c r="T268" i="1"/>
  <c r="Y268" i="1" s="1"/>
  <c r="L268" i="1"/>
  <c r="N268" i="1" s="1"/>
  <c r="U267" i="1"/>
  <c r="T267" i="1"/>
  <c r="Y267" i="1" s="1"/>
  <c r="L267" i="1"/>
  <c r="U266" i="1"/>
  <c r="T266" i="1"/>
  <c r="Y266" i="1" s="1"/>
  <c r="L266" i="1"/>
  <c r="N266" i="1" s="1"/>
  <c r="U265" i="1"/>
  <c r="T265" i="1"/>
  <c r="Y265" i="1" s="1"/>
  <c r="L265" i="1"/>
  <c r="U264" i="1"/>
  <c r="T264" i="1"/>
  <c r="Y264" i="1" s="1"/>
  <c r="L264" i="1"/>
  <c r="U263" i="1"/>
  <c r="T263" i="1"/>
  <c r="Y263" i="1" s="1"/>
  <c r="N263" i="1"/>
  <c r="L263" i="1"/>
  <c r="U262" i="1"/>
  <c r="T262" i="1"/>
  <c r="Y262" i="1" s="1"/>
  <c r="L262" i="1"/>
  <c r="N262" i="1" s="1"/>
  <c r="U261" i="1"/>
  <c r="T261" i="1"/>
  <c r="Y261" i="1" s="1"/>
  <c r="L261" i="1"/>
  <c r="N261" i="1" s="1"/>
  <c r="U260" i="1"/>
  <c r="T260" i="1"/>
  <c r="Y260" i="1" s="1"/>
  <c r="L260" i="1"/>
  <c r="N260" i="1" s="1"/>
  <c r="U259" i="1"/>
  <c r="T259" i="1"/>
  <c r="Y259" i="1" s="1"/>
  <c r="L259" i="1"/>
  <c r="N259" i="1" s="1"/>
  <c r="U258" i="1"/>
  <c r="T258" i="1"/>
  <c r="Y258" i="1" s="1"/>
  <c r="L258" i="1"/>
  <c r="N258" i="1" s="1"/>
  <c r="U257" i="1"/>
  <c r="T257" i="1"/>
  <c r="Y257" i="1" s="1"/>
  <c r="L257" i="1"/>
  <c r="U256" i="1"/>
  <c r="T256" i="1"/>
  <c r="Y256" i="1" s="1"/>
  <c r="L256" i="1"/>
  <c r="N256" i="1" s="1"/>
  <c r="U255" i="1"/>
  <c r="T255" i="1"/>
  <c r="Y255" i="1" s="1"/>
  <c r="L255" i="1"/>
  <c r="U254" i="1"/>
  <c r="T254" i="1"/>
  <c r="Y254" i="1" s="1"/>
  <c r="L254" i="1"/>
  <c r="U253" i="1"/>
  <c r="T253" i="1"/>
  <c r="Y253" i="1" s="1"/>
  <c r="L253" i="1"/>
  <c r="U252" i="1"/>
  <c r="T252" i="1"/>
  <c r="Y252" i="1" s="1"/>
  <c r="L252" i="1"/>
  <c r="N252" i="1" s="1"/>
  <c r="U251" i="1"/>
  <c r="T251" i="1"/>
  <c r="Y251" i="1" s="1"/>
  <c r="L251" i="1"/>
  <c r="N251" i="1" s="1"/>
  <c r="U250" i="1"/>
  <c r="T250" i="1"/>
  <c r="Y250" i="1" s="1"/>
  <c r="L250" i="1"/>
  <c r="N250" i="1" s="1"/>
  <c r="U249" i="1"/>
  <c r="T249" i="1"/>
  <c r="Y249" i="1" s="1"/>
  <c r="L249" i="1"/>
  <c r="N249" i="1" s="1"/>
  <c r="U248" i="1"/>
  <c r="T248" i="1"/>
  <c r="Y248" i="1" s="1"/>
  <c r="L248" i="1"/>
  <c r="N248" i="1" s="1"/>
  <c r="U247" i="1"/>
  <c r="T247" i="1"/>
  <c r="Y247" i="1" s="1"/>
  <c r="L247" i="1"/>
  <c r="N247" i="1" s="1"/>
  <c r="U246" i="1"/>
  <c r="T246" i="1"/>
  <c r="Y246" i="1" s="1"/>
  <c r="L246" i="1"/>
  <c r="N246" i="1" s="1"/>
  <c r="U245" i="1"/>
  <c r="T245" i="1"/>
  <c r="Y245" i="1" s="1"/>
  <c r="L245" i="1"/>
  <c r="U244" i="1"/>
  <c r="T244" i="1"/>
  <c r="Y244" i="1" s="1"/>
  <c r="L244" i="1"/>
  <c r="N244" i="1" s="1"/>
  <c r="U243" i="1"/>
  <c r="T243" i="1"/>
  <c r="Y243" i="1" s="1"/>
  <c r="L243" i="1"/>
  <c r="N243" i="1" s="1"/>
  <c r="U242" i="1"/>
  <c r="T242" i="1"/>
  <c r="Y242" i="1" s="1"/>
  <c r="L242" i="1"/>
  <c r="U241" i="1"/>
  <c r="T241" i="1"/>
  <c r="Y241" i="1" s="1"/>
  <c r="L241" i="1"/>
  <c r="U240" i="1"/>
  <c r="T240" i="1"/>
  <c r="Y240" i="1" s="1"/>
  <c r="L240" i="1"/>
  <c r="U239" i="1"/>
  <c r="T239" i="1"/>
  <c r="Y239" i="1" s="1"/>
  <c r="L239" i="1"/>
  <c r="U238" i="1"/>
  <c r="T238" i="1"/>
  <c r="Y238" i="1" s="1"/>
  <c r="L238" i="1"/>
  <c r="U237" i="1"/>
  <c r="T237" i="1"/>
  <c r="Y237" i="1" s="1"/>
  <c r="L237" i="1"/>
  <c r="U236" i="1"/>
  <c r="T236" i="1"/>
  <c r="Y236" i="1" s="1"/>
  <c r="L236" i="1"/>
  <c r="U235" i="1"/>
  <c r="T235" i="1"/>
  <c r="Y235" i="1" s="1"/>
  <c r="L235" i="1"/>
  <c r="U234" i="1"/>
  <c r="T234" i="1"/>
  <c r="Y234" i="1" s="1"/>
  <c r="L234" i="1"/>
  <c r="U233" i="1"/>
  <c r="T233" i="1"/>
  <c r="Y233" i="1" s="1"/>
  <c r="L233" i="1"/>
  <c r="U232" i="1"/>
  <c r="T232" i="1"/>
  <c r="Y232" i="1" s="1"/>
  <c r="L232" i="1"/>
  <c r="N232" i="1" s="1"/>
  <c r="U231" i="1"/>
  <c r="T231" i="1"/>
  <c r="Y231" i="1" s="1"/>
  <c r="L231" i="1"/>
  <c r="U230" i="1"/>
  <c r="T230" i="1"/>
  <c r="Y230" i="1" s="1"/>
  <c r="L230" i="1"/>
  <c r="U229" i="1"/>
  <c r="T229" i="1"/>
  <c r="Y229" i="1" s="1"/>
  <c r="L229" i="1"/>
  <c r="N229" i="1" s="1"/>
  <c r="U228" i="1"/>
  <c r="T228" i="1"/>
  <c r="Y228" i="1" s="1"/>
  <c r="L228" i="1"/>
  <c r="U227" i="1"/>
  <c r="T227" i="1"/>
  <c r="Y227" i="1" s="1"/>
  <c r="L227" i="1"/>
  <c r="U226" i="1"/>
  <c r="T226" i="1"/>
  <c r="Y226" i="1" s="1"/>
  <c r="L226" i="1"/>
  <c r="U225" i="1"/>
  <c r="T225" i="1"/>
  <c r="Y225" i="1" s="1"/>
  <c r="L225" i="1"/>
  <c r="U224" i="1"/>
  <c r="T224" i="1"/>
  <c r="Y224" i="1" s="1"/>
  <c r="L224" i="1"/>
  <c r="N224" i="1" s="1"/>
  <c r="U223" i="1"/>
  <c r="T223" i="1"/>
  <c r="Y223" i="1" s="1"/>
  <c r="L223" i="1"/>
  <c r="N223" i="1" s="1"/>
  <c r="U222" i="1"/>
  <c r="T222" i="1"/>
  <c r="Y222" i="1" s="1"/>
  <c r="L222" i="1"/>
  <c r="N222" i="1" s="1"/>
  <c r="U221" i="1"/>
  <c r="T221" i="1"/>
  <c r="Y221" i="1" s="1"/>
  <c r="L221" i="1"/>
  <c r="N221" i="1" s="1"/>
  <c r="U220" i="1"/>
  <c r="T220" i="1"/>
  <c r="Y220" i="1" s="1"/>
  <c r="L220" i="1"/>
  <c r="U219" i="1"/>
  <c r="T219" i="1"/>
  <c r="Y219" i="1" s="1"/>
  <c r="L219" i="1"/>
  <c r="N219" i="1" s="1"/>
  <c r="U218" i="1"/>
  <c r="T218" i="1"/>
  <c r="Y218" i="1" s="1"/>
  <c r="L218" i="1"/>
  <c r="N218" i="1" s="1"/>
  <c r="U217" i="1"/>
  <c r="T217" i="1"/>
  <c r="Y217" i="1" s="1"/>
  <c r="L217" i="1"/>
  <c r="N217" i="1" s="1"/>
  <c r="U216" i="1"/>
  <c r="T216" i="1"/>
  <c r="Y216" i="1" s="1"/>
  <c r="L216" i="1"/>
  <c r="N216" i="1" s="1"/>
  <c r="U215" i="1"/>
  <c r="T215" i="1"/>
  <c r="Y215" i="1" s="1"/>
  <c r="L215" i="1"/>
  <c r="N215" i="1" s="1"/>
  <c r="U214" i="1"/>
  <c r="T214" i="1"/>
  <c r="Y214" i="1" s="1"/>
  <c r="L214" i="1"/>
  <c r="N214" i="1" s="1"/>
  <c r="U213" i="1"/>
  <c r="T213" i="1"/>
  <c r="Y213" i="1" s="1"/>
  <c r="L213" i="1"/>
  <c r="N213" i="1" s="1"/>
  <c r="U212" i="1"/>
  <c r="T212" i="1"/>
  <c r="Y212" i="1" s="1"/>
  <c r="L212" i="1"/>
  <c r="N212" i="1" s="1"/>
  <c r="U211" i="1"/>
  <c r="T211" i="1"/>
  <c r="Y211" i="1" s="1"/>
  <c r="L211" i="1"/>
  <c r="N211" i="1" s="1"/>
  <c r="U210" i="1"/>
  <c r="T210" i="1"/>
  <c r="Y210" i="1" s="1"/>
  <c r="L210" i="1"/>
  <c r="N210" i="1" s="1"/>
  <c r="U209" i="1"/>
  <c r="T209" i="1"/>
  <c r="Y209" i="1" s="1"/>
  <c r="L209" i="1"/>
  <c r="N209" i="1" s="1"/>
  <c r="U208" i="1"/>
  <c r="T208" i="1"/>
  <c r="Y208" i="1" s="1"/>
  <c r="L208" i="1"/>
  <c r="N208" i="1" s="1"/>
  <c r="U207" i="1"/>
  <c r="T207" i="1"/>
  <c r="Y207" i="1" s="1"/>
  <c r="L207" i="1"/>
  <c r="N207" i="1" s="1"/>
  <c r="U206" i="1"/>
  <c r="T206" i="1"/>
  <c r="Y206" i="1" s="1"/>
  <c r="L206" i="1"/>
  <c r="N206" i="1" s="1"/>
  <c r="U205" i="1"/>
  <c r="T205" i="1"/>
  <c r="Y205" i="1" s="1"/>
  <c r="L205" i="1"/>
  <c r="N205" i="1" s="1"/>
  <c r="U204" i="1"/>
  <c r="T204" i="1"/>
  <c r="Y204" i="1" s="1"/>
  <c r="L204" i="1"/>
  <c r="N204" i="1" s="1"/>
  <c r="U203" i="1"/>
  <c r="T203" i="1"/>
  <c r="Y203" i="1" s="1"/>
  <c r="L203" i="1"/>
  <c r="N203" i="1" s="1"/>
  <c r="U202" i="1"/>
  <c r="T202" i="1"/>
  <c r="Y202" i="1" s="1"/>
  <c r="L202" i="1"/>
  <c r="N202" i="1" s="1"/>
  <c r="U201" i="1"/>
  <c r="T201" i="1"/>
  <c r="Y201" i="1" s="1"/>
  <c r="L201" i="1"/>
  <c r="N201" i="1" s="1"/>
  <c r="U200" i="1"/>
  <c r="T200" i="1"/>
  <c r="Y200" i="1" s="1"/>
  <c r="L200" i="1"/>
  <c r="N200" i="1" s="1"/>
  <c r="U199" i="1"/>
  <c r="T199" i="1"/>
  <c r="Y199" i="1" s="1"/>
  <c r="L199" i="1"/>
  <c r="U198" i="1"/>
  <c r="T198" i="1"/>
  <c r="Y198" i="1" s="1"/>
  <c r="L198" i="1"/>
  <c r="U197" i="1"/>
  <c r="T197" i="1"/>
  <c r="Y197" i="1" s="1"/>
  <c r="L197" i="1"/>
  <c r="U196" i="1"/>
  <c r="T196" i="1"/>
  <c r="Y196" i="1" s="1"/>
  <c r="L196" i="1"/>
  <c r="N196" i="1" s="1"/>
  <c r="U195" i="1"/>
  <c r="T195" i="1"/>
  <c r="Y195" i="1" s="1"/>
  <c r="L195" i="1"/>
  <c r="U194" i="1"/>
  <c r="T194" i="1"/>
  <c r="Y194" i="1" s="1"/>
  <c r="L194" i="1"/>
  <c r="U193" i="1"/>
  <c r="T193" i="1"/>
  <c r="Y193" i="1" s="1"/>
  <c r="L193" i="1"/>
  <c r="U192" i="1"/>
  <c r="T192" i="1"/>
  <c r="Y192" i="1" s="1"/>
  <c r="L192" i="1"/>
  <c r="N192" i="1" s="1"/>
  <c r="U191" i="1"/>
  <c r="T191" i="1"/>
  <c r="Y191" i="1" s="1"/>
  <c r="L191" i="1"/>
  <c r="N191" i="1" s="1"/>
  <c r="U190" i="1"/>
  <c r="T190" i="1"/>
  <c r="Y190" i="1" s="1"/>
  <c r="L190" i="1"/>
  <c r="U189" i="1"/>
  <c r="T189" i="1"/>
  <c r="Y189" i="1" s="1"/>
  <c r="L189" i="1"/>
  <c r="U188" i="1"/>
  <c r="T188" i="1"/>
  <c r="Y188" i="1" s="1"/>
  <c r="L188" i="1"/>
  <c r="N188" i="1" s="1"/>
  <c r="U187" i="1"/>
  <c r="T187" i="1"/>
  <c r="Y187" i="1" s="1"/>
  <c r="L187" i="1"/>
  <c r="U186" i="1"/>
  <c r="T186" i="1"/>
  <c r="Y186" i="1" s="1"/>
  <c r="L186" i="1"/>
  <c r="U185" i="1"/>
  <c r="T185" i="1"/>
  <c r="Y185" i="1" s="1"/>
  <c r="L185" i="1"/>
  <c r="N185" i="1" s="1"/>
  <c r="U184" i="1"/>
  <c r="T184" i="1"/>
  <c r="Y184" i="1" s="1"/>
  <c r="L184" i="1"/>
  <c r="N184" i="1" s="1"/>
  <c r="U183" i="1"/>
  <c r="T183" i="1"/>
  <c r="Y183" i="1" s="1"/>
  <c r="L183" i="1"/>
  <c r="N183" i="1" s="1"/>
  <c r="U182" i="1"/>
  <c r="T182" i="1"/>
  <c r="Y182" i="1" s="1"/>
  <c r="L182" i="1"/>
  <c r="N182" i="1" s="1"/>
  <c r="U181" i="1"/>
  <c r="T181" i="1"/>
  <c r="Y181" i="1" s="1"/>
  <c r="L181" i="1"/>
  <c r="N181" i="1" s="1"/>
  <c r="U180" i="1"/>
  <c r="T180" i="1"/>
  <c r="Y180" i="1" s="1"/>
  <c r="L180" i="1"/>
  <c r="N180" i="1" s="1"/>
  <c r="U179" i="1"/>
  <c r="T179" i="1"/>
  <c r="Y179" i="1" s="1"/>
  <c r="L179" i="1"/>
  <c r="N179" i="1" s="1"/>
  <c r="U178" i="1"/>
  <c r="T178" i="1"/>
  <c r="Y178" i="1" s="1"/>
  <c r="L178" i="1"/>
  <c r="N178" i="1" s="1"/>
  <c r="U177" i="1"/>
  <c r="T177" i="1"/>
  <c r="Y177" i="1" s="1"/>
  <c r="L177" i="1"/>
  <c r="N177" i="1" s="1"/>
  <c r="U176" i="1"/>
  <c r="T176" i="1"/>
  <c r="Y176" i="1" s="1"/>
  <c r="L176" i="1"/>
  <c r="N176" i="1" s="1"/>
  <c r="U175" i="1"/>
  <c r="T175" i="1"/>
  <c r="Y175" i="1" s="1"/>
  <c r="L175" i="1"/>
  <c r="N175" i="1" s="1"/>
  <c r="U174" i="1"/>
  <c r="T174" i="1"/>
  <c r="Y174" i="1" s="1"/>
  <c r="L174" i="1"/>
  <c r="U173" i="1"/>
  <c r="T173" i="1"/>
  <c r="Y173" i="1" s="1"/>
  <c r="L173" i="1"/>
  <c r="U172" i="1"/>
  <c r="T172" i="1"/>
  <c r="Y172" i="1" s="1"/>
  <c r="L172" i="1"/>
  <c r="U171" i="1"/>
  <c r="T171" i="1"/>
  <c r="Y171" i="1" s="1"/>
  <c r="L171" i="1"/>
  <c r="U170" i="1"/>
  <c r="T170" i="1"/>
  <c r="Y170" i="1" s="1"/>
  <c r="L170" i="1"/>
  <c r="U169" i="1"/>
  <c r="T169" i="1"/>
  <c r="Y169" i="1" s="1"/>
  <c r="L169" i="1"/>
  <c r="N169" i="1" s="1"/>
  <c r="U168" i="1"/>
  <c r="T168" i="1"/>
  <c r="Y168" i="1" s="1"/>
  <c r="L168" i="1"/>
  <c r="N168" i="1" s="1"/>
  <c r="U167" i="1"/>
  <c r="T167" i="1"/>
  <c r="Y167" i="1" s="1"/>
  <c r="L167" i="1"/>
  <c r="N167" i="1" s="1"/>
  <c r="U166" i="1"/>
  <c r="T166" i="1"/>
  <c r="Y166" i="1" s="1"/>
  <c r="L166" i="1"/>
  <c r="U165" i="1"/>
  <c r="T165" i="1"/>
  <c r="Y165" i="1" s="1"/>
  <c r="L165" i="1"/>
  <c r="N165" i="1" s="1"/>
  <c r="U164" i="1"/>
  <c r="T164" i="1"/>
  <c r="Y164" i="1" s="1"/>
  <c r="L164" i="1"/>
  <c r="U163" i="1"/>
  <c r="T163" i="1"/>
  <c r="Y163" i="1" s="1"/>
  <c r="L163" i="1"/>
  <c r="U162" i="1"/>
  <c r="T162" i="1"/>
  <c r="Y162" i="1" s="1"/>
  <c r="L162" i="1"/>
  <c r="U161" i="1"/>
  <c r="T161" i="1"/>
  <c r="Y161" i="1" s="1"/>
  <c r="L161" i="1"/>
  <c r="N161" i="1" s="1"/>
  <c r="U160" i="1"/>
  <c r="T160" i="1"/>
  <c r="Y160" i="1" s="1"/>
  <c r="L160" i="1"/>
  <c r="U159" i="1"/>
  <c r="T159" i="1"/>
  <c r="Y159" i="1" s="1"/>
  <c r="L159" i="1"/>
  <c r="N159" i="1" s="1"/>
  <c r="U158" i="1"/>
  <c r="T158" i="1"/>
  <c r="Y158" i="1" s="1"/>
  <c r="L158" i="1"/>
  <c r="N158" i="1" s="1"/>
  <c r="U157" i="1"/>
  <c r="T157" i="1"/>
  <c r="Y157" i="1" s="1"/>
  <c r="L157" i="1"/>
  <c r="N157" i="1" s="1"/>
  <c r="U156" i="1"/>
  <c r="T156" i="1"/>
  <c r="Y156" i="1" s="1"/>
  <c r="L156" i="1"/>
  <c r="N156" i="1" s="1"/>
  <c r="U155" i="1"/>
  <c r="T155" i="1"/>
  <c r="Y155" i="1" s="1"/>
  <c r="L155" i="1"/>
  <c r="N155" i="1" s="1"/>
  <c r="U154" i="1"/>
  <c r="T154" i="1"/>
  <c r="Y154" i="1" s="1"/>
  <c r="L154" i="1"/>
  <c r="N154" i="1" s="1"/>
  <c r="U153" i="1"/>
  <c r="T153" i="1"/>
  <c r="Y153" i="1" s="1"/>
  <c r="L153" i="1"/>
  <c r="U152" i="1"/>
  <c r="T152" i="1"/>
  <c r="Y152" i="1" s="1"/>
  <c r="L152" i="1"/>
  <c r="N152" i="1" s="1"/>
  <c r="U151" i="1"/>
  <c r="T151" i="1"/>
  <c r="Y151" i="1" s="1"/>
  <c r="L151" i="1"/>
  <c r="N151" i="1" s="1"/>
  <c r="U150" i="1"/>
  <c r="T150" i="1"/>
  <c r="Y150" i="1" s="1"/>
  <c r="L150" i="1"/>
  <c r="N150" i="1" s="1"/>
  <c r="U149" i="1"/>
  <c r="T149" i="1"/>
  <c r="Y149" i="1" s="1"/>
  <c r="L149" i="1"/>
  <c r="N149" i="1" s="1"/>
  <c r="U148" i="1"/>
  <c r="T148" i="1"/>
  <c r="Y148" i="1" s="1"/>
  <c r="L148" i="1"/>
  <c r="N148" i="1" s="1"/>
  <c r="U147" i="1"/>
  <c r="T147" i="1"/>
  <c r="Y147" i="1" s="1"/>
  <c r="L147" i="1"/>
  <c r="U146" i="1"/>
  <c r="T146" i="1"/>
  <c r="Y146" i="1" s="1"/>
  <c r="L146" i="1"/>
  <c r="N146" i="1" s="1"/>
  <c r="U145" i="1"/>
  <c r="T145" i="1"/>
  <c r="Y145" i="1" s="1"/>
  <c r="L145" i="1"/>
  <c r="U144" i="1"/>
  <c r="T144" i="1"/>
  <c r="Y144" i="1" s="1"/>
  <c r="L144" i="1"/>
  <c r="U143" i="1"/>
  <c r="T143" i="1"/>
  <c r="Y143" i="1" s="1"/>
  <c r="L143" i="1"/>
  <c r="N143" i="1" s="1"/>
  <c r="U142" i="1"/>
  <c r="T142" i="1"/>
  <c r="Y142" i="1" s="1"/>
  <c r="L142" i="1"/>
  <c r="N142" i="1" s="1"/>
  <c r="U141" i="1"/>
  <c r="T141" i="1"/>
  <c r="Y141" i="1" s="1"/>
  <c r="L141" i="1"/>
  <c r="U140" i="1"/>
  <c r="T140" i="1"/>
  <c r="Y140" i="1" s="1"/>
  <c r="L140" i="1"/>
  <c r="U139" i="1"/>
  <c r="T139" i="1"/>
  <c r="Y139" i="1" s="1"/>
  <c r="L139" i="1"/>
  <c r="N139" i="1" s="1"/>
  <c r="U138" i="1"/>
  <c r="T138" i="1"/>
  <c r="Y138" i="1" s="1"/>
  <c r="L138" i="1"/>
  <c r="N138" i="1" s="1"/>
  <c r="U137" i="1"/>
  <c r="T137" i="1"/>
  <c r="Y137" i="1" s="1"/>
  <c r="L137" i="1"/>
  <c r="N137" i="1" s="1"/>
  <c r="U136" i="1"/>
  <c r="T136" i="1"/>
  <c r="Y136" i="1" s="1"/>
  <c r="L136" i="1"/>
  <c r="N136" i="1" s="1"/>
  <c r="U135" i="1"/>
  <c r="T135" i="1"/>
  <c r="Y135" i="1" s="1"/>
  <c r="L135" i="1"/>
  <c r="N135" i="1" s="1"/>
  <c r="U134" i="1"/>
  <c r="T134" i="1"/>
  <c r="Y134" i="1" s="1"/>
  <c r="L134" i="1"/>
  <c r="N134" i="1" s="1"/>
  <c r="U133" i="1"/>
  <c r="T133" i="1"/>
  <c r="Y133" i="1" s="1"/>
  <c r="L133" i="1"/>
  <c r="N133" i="1" s="1"/>
  <c r="U132" i="1"/>
  <c r="T132" i="1"/>
  <c r="Y132" i="1" s="1"/>
  <c r="L132" i="1"/>
  <c r="N132" i="1" s="1"/>
  <c r="U131" i="1"/>
  <c r="T131" i="1"/>
  <c r="Y131" i="1" s="1"/>
  <c r="L131" i="1"/>
  <c r="N131" i="1" s="1"/>
  <c r="U130" i="1"/>
  <c r="T130" i="1"/>
  <c r="Y130" i="1" s="1"/>
  <c r="L130" i="1"/>
  <c r="N130" i="1" s="1"/>
  <c r="U129" i="1"/>
  <c r="T129" i="1"/>
  <c r="Y129" i="1" s="1"/>
  <c r="L129" i="1"/>
  <c r="N129" i="1" s="1"/>
  <c r="U128" i="1"/>
  <c r="T128" i="1"/>
  <c r="Y128" i="1" s="1"/>
  <c r="L128" i="1"/>
  <c r="N128" i="1" s="1"/>
  <c r="U127" i="1"/>
  <c r="T127" i="1"/>
  <c r="Y127" i="1" s="1"/>
  <c r="L127" i="1"/>
  <c r="N127" i="1" s="1"/>
  <c r="U126" i="1"/>
  <c r="T126" i="1"/>
  <c r="Y126" i="1" s="1"/>
  <c r="L126" i="1"/>
  <c r="N126" i="1" s="1"/>
  <c r="U125" i="1"/>
  <c r="T125" i="1"/>
  <c r="Y125" i="1" s="1"/>
  <c r="L125" i="1"/>
  <c r="N125" i="1" s="1"/>
  <c r="U124" i="1"/>
  <c r="T124" i="1"/>
  <c r="Y124" i="1" s="1"/>
  <c r="L124" i="1"/>
  <c r="N124" i="1" s="1"/>
  <c r="U123" i="1"/>
  <c r="T123" i="1"/>
  <c r="Y123" i="1" s="1"/>
  <c r="L123" i="1"/>
  <c r="N123" i="1" s="1"/>
  <c r="U122" i="1"/>
  <c r="T122" i="1"/>
  <c r="Y122" i="1" s="1"/>
  <c r="L122" i="1"/>
  <c r="U121" i="1"/>
  <c r="T121" i="1"/>
  <c r="Y121" i="1" s="1"/>
  <c r="L121" i="1"/>
  <c r="N121" i="1" s="1"/>
  <c r="U120" i="1"/>
  <c r="T120" i="1"/>
  <c r="Y120" i="1" s="1"/>
  <c r="L120" i="1"/>
  <c r="U119" i="1"/>
  <c r="T119" i="1"/>
  <c r="Y119" i="1" s="1"/>
  <c r="L119" i="1"/>
  <c r="U118" i="1"/>
  <c r="T118" i="1"/>
  <c r="Y118" i="1" s="1"/>
  <c r="L118" i="1"/>
  <c r="U117" i="1"/>
  <c r="T117" i="1"/>
  <c r="Y117" i="1" s="1"/>
  <c r="L117" i="1"/>
  <c r="N117" i="1" s="1"/>
  <c r="U116" i="1"/>
  <c r="T116" i="1"/>
  <c r="Y116" i="1" s="1"/>
  <c r="L116" i="1"/>
  <c r="N116" i="1" s="1"/>
  <c r="U115" i="1"/>
  <c r="T115" i="1"/>
  <c r="Y115" i="1" s="1"/>
  <c r="L115" i="1"/>
  <c r="N115" i="1" s="1"/>
  <c r="U114" i="1"/>
  <c r="T114" i="1"/>
  <c r="Y114" i="1" s="1"/>
  <c r="L114" i="1"/>
  <c r="U113" i="1"/>
  <c r="T113" i="1"/>
  <c r="Y113" i="1" s="1"/>
  <c r="L113" i="1"/>
  <c r="U112" i="1"/>
  <c r="T112" i="1"/>
  <c r="Y112" i="1" s="1"/>
  <c r="L112" i="1"/>
  <c r="U111" i="1"/>
  <c r="T111" i="1"/>
  <c r="Y111" i="1" s="1"/>
  <c r="L111" i="1"/>
  <c r="N111" i="1" s="1"/>
  <c r="U110" i="1"/>
  <c r="T110" i="1"/>
  <c r="Y110" i="1" s="1"/>
  <c r="L110" i="1"/>
  <c r="N110" i="1" s="1"/>
  <c r="U109" i="1"/>
  <c r="T109" i="1"/>
  <c r="Y109" i="1" s="1"/>
  <c r="L109" i="1"/>
  <c r="U108" i="1"/>
  <c r="T108" i="1"/>
  <c r="Y108" i="1" s="1"/>
  <c r="L108" i="1"/>
  <c r="U107" i="1"/>
  <c r="T107" i="1"/>
  <c r="Y107" i="1" s="1"/>
  <c r="L107" i="1"/>
  <c r="U106" i="1"/>
  <c r="T106" i="1"/>
  <c r="Y106" i="1" s="1"/>
  <c r="L106" i="1"/>
  <c r="U105" i="1"/>
  <c r="T105" i="1"/>
  <c r="Y105" i="1" s="1"/>
  <c r="L105" i="1"/>
  <c r="U104" i="1"/>
  <c r="T104" i="1"/>
  <c r="Y104" i="1" s="1"/>
  <c r="L104" i="1"/>
  <c r="U103" i="1"/>
  <c r="T103" i="1"/>
  <c r="Y103" i="1" s="1"/>
  <c r="L103" i="1"/>
  <c r="U102" i="1"/>
  <c r="T102" i="1"/>
  <c r="Y102" i="1" s="1"/>
  <c r="L102" i="1"/>
  <c r="U101" i="1"/>
  <c r="T101" i="1"/>
  <c r="Y101" i="1" s="1"/>
  <c r="L101" i="1"/>
  <c r="N101" i="1" s="1"/>
  <c r="U100" i="1"/>
  <c r="T100" i="1"/>
  <c r="Y100" i="1" s="1"/>
  <c r="L100" i="1"/>
  <c r="N100" i="1" s="1"/>
  <c r="U99" i="1"/>
  <c r="T99" i="1"/>
  <c r="Y99" i="1" s="1"/>
  <c r="L99" i="1"/>
  <c r="N99" i="1" s="1"/>
  <c r="U98" i="1"/>
  <c r="T98" i="1"/>
  <c r="Y98" i="1" s="1"/>
  <c r="L98" i="1"/>
  <c r="N98" i="1" s="1"/>
  <c r="U97" i="1"/>
  <c r="T97" i="1"/>
  <c r="Y97" i="1" s="1"/>
  <c r="L97" i="1"/>
  <c r="U96" i="1"/>
  <c r="T96" i="1"/>
  <c r="Y96" i="1" s="1"/>
  <c r="L96" i="1"/>
  <c r="N96" i="1" s="1"/>
  <c r="U95" i="1"/>
  <c r="T95" i="1"/>
  <c r="Y95" i="1" s="1"/>
  <c r="L95" i="1"/>
  <c r="N95" i="1" s="1"/>
  <c r="U94" i="1"/>
  <c r="T94" i="1"/>
  <c r="Y94" i="1" s="1"/>
  <c r="L94" i="1"/>
  <c r="N94" i="1" s="1"/>
  <c r="U93" i="1"/>
  <c r="T93" i="1"/>
  <c r="Y93" i="1" s="1"/>
  <c r="L93" i="1"/>
  <c r="N93" i="1" s="1"/>
  <c r="U92" i="1"/>
  <c r="T92" i="1"/>
  <c r="Y92" i="1" s="1"/>
  <c r="L92" i="1"/>
  <c r="N92" i="1" s="1"/>
  <c r="U91" i="1"/>
  <c r="T91" i="1"/>
  <c r="Y91" i="1" s="1"/>
  <c r="L91" i="1"/>
  <c r="N91" i="1" s="1"/>
  <c r="U90" i="1"/>
  <c r="T90" i="1"/>
  <c r="Y90" i="1" s="1"/>
  <c r="L90" i="1"/>
  <c r="U89" i="1"/>
  <c r="T89" i="1"/>
  <c r="Y89" i="1" s="1"/>
  <c r="L89" i="1"/>
  <c r="N89" i="1" s="1"/>
  <c r="U88" i="1"/>
  <c r="T88" i="1"/>
  <c r="Y88" i="1" s="1"/>
  <c r="L88" i="1"/>
  <c r="U87" i="1"/>
  <c r="T87" i="1"/>
  <c r="Y87" i="1" s="1"/>
  <c r="L87" i="1"/>
  <c r="N87" i="1" s="1"/>
  <c r="U86" i="1"/>
  <c r="T86" i="1"/>
  <c r="Y86" i="1" s="1"/>
  <c r="L86" i="1"/>
  <c r="U85" i="1"/>
  <c r="T85" i="1"/>
  <c r="Y85" i="1" s="1"/>
  <c r="L85" i="1"/>
  <c r="N85" i="1" s="1"/>
  <c r="U84" i="1"/>
  <c r="T84" i="1"/>
  <c r="Y84" i="1" s="1"/>
  <c r="L84" i="1"/>
  <c r="N84" i="1" s="1"/>
  <c r="U83" i="1"/>
  <c r="T83" i="1"/>
  <c r="Y83" i="1" s="1"/>
  <c r="L83" i="1"/>
  <c r="N83" i="1" s="1"/>
  <c r="U82" i="1"/>
  <c r="T82" i="1"/>
  <c r="Y82" i="1" s="1"/>
  <c r="L82" i="1"/>
  <c r="U81" i="1"/>
  <c r="T81" i="1"/>
  <c r="Y81" i="1" s="1"/>
  <c r="L81" i="1"/>
  <c r="U80" i="1"/>
  <c r="T80" i="1"/>
  <c r="Y80" i="1" s="1"/>
  <c r="L80" i="1"/>
  <c r="N80" i="1" s="1"/>
  <c r="U79" i="1"/>
  <c r="T79" i="1"/>
  <c r="Y79" i="1" s="1"/>
  <c r="L79" i="1"/>
  <c r="N79" i="1" s="1"/>
  <c r="U78" i="1"/>
  <c r="T78" i="1"/>
  <c r="Y78" i="1" s="1"/>
  <c r="L78" i="1"/>
  <c r="N78" i="1" s="1"/>
  <c r="U77" i="1"/>
  <c r="T77" i="1"/>
  <c r="Y77" i="1" s="1"/>
  <c r="L77" i="1"/>
  <c r="N77" i="1" s="1"/>
  <c r="U76" i="1"/>
  <c r="T76" i="1"/>
  <c r="Y76" i="1" s="1"/>
  <c r="L76" i="1"/>
  <c r="N76" i="1" s="1"/>
  <c r="U75" i="1"/>
  <c r="T75" i="1"/>
  <c r="Y75" i="1" s="1"/>
  <c r="L75" i="1"/>
  <c r="N75" i="1" s="1"/>
  <c r="U74" i="1"/>
  <c r="T74" i="1"/>
  <c r="Y74" i="1" s="1"/>
  <c r="L74" i="1"/>
  <c r="N74" i="1" s="1"/>
  <c r="U73" i="1"/>
  <c r="T73" i="1"/>
  <c r="Y73" i="1" s="1"/>
  <c r="L73" i="1"/>
  <c r="N73" i="1" s="1"/>
  <c r="U72" i="1"/>
  <c r="T72" i="1"/>
  <c r="Y72" i="1" s="1"/>
  <c r="L72" i="1"/>
  <c r="N72" i="1" s="1"/>
  <c r="U71" i="1"/>
  <c r="T71" i="1"/>
  <c r="Y71" i="1" s="1"/>
  <c r="L71" i="1"/>
  <c r="U70" i="1"/>
  <c r="T70" i="1"/>
  <c r="Y70" i="1" s="1"/>
  <c r="L70" i="1"/>
  <c r="N70" i="1" s="1"/>
  <c r="U69" i="1"/>
  <c r="T69" i="1"/>
  <c r="Y69" i="1" s="1"/>
  <c r="L69" i="1"/>
  <c r="N69" i="1" s="1"/>
  <c r="U68" i="1"/>
  <c r="T68" i="1"/>
  <c r="Y68" i="1" s="1"/>
  <c r="L68" i="1"/>
  <c r="U67" i="1"/>
  <c r="T67" i="1"/>
  <c r="Y67" i="1" s="1"/>
  <c r="L67" i="1"/>
  <c r="N67" i="1" s="1"/>
  <c r="U66" i="1"/>
  <c r="T66" i="1"/>
  <c r="Y66" i="1" s="1"/>
  <c r="L66" i="1"/>
  <c r="N66" i="1" s="1"/>
  <c r="U65" i="1"/>
  <c r="T65" i="1"/>
  <c r="Y65" i="1" s="1"/>
  <c r="L65" i="1"/>
  <c r="N65" i="1" s="1"/>
  <c r="U64" i="1"/>
  <c r="T64" i="1"/>
  <c r="Y64" i="1" s="1"/>
  <c r="L64" i="1"/>
  <c r="U63" i="1"/>
  <c r="T63" i="1"/>
  <c r="Y63" i="1" s="1"/>
  <c r="L63" i="1"/>
  <c r="U62" i="1"/>
  <c r="T62" i="1"/>
  <c r="Y62" i="1" s="1"/>
  <c r="L62" i="1"/>
  <c r="N62" i="1" s="1"/>
  <c r="U61" i="1"/>
  <c r="T61" i="1"/>
  <c r="Y61" i="1" s="1"/>
  <c r="L61" i="1"/>
  <c r="N61" i="1" s="1"/>
  <c r="U60" i="1"/>
  <c r="T60" i="1"/>
  <c r="Y60" i="1" s="1"/>
  <c r="L60" i="1"/>
  <c r="U59" i="1"/>
  <c r="T59" i="1"/>
  <c r="Y59" i="1" s="1"/>
  <c r="L59" i="1"/>
  <c r="N59" i="1" s="1"/>
  <c r="U58" i="1"/>
  <c r="T58" i="1"/>
  <c r="Y58" i="1" s="1"/>
  <c r="L58" i="1"/>
  <c r="N58" i="1" s="1"/>
  <c r="U57" i="1"/>
  <c r="T57" i="1"/>
  <c r="Y57" i="1" s="1"/>
  <c r="N57" i="1"/>
  <c r="L57" i="1"/>
  <c r="U56" i="1"/>
  <c r="T56" i="1"/>
  <c r="Y56" i="1" s="1"/>
  <c r="L56" i="1"/>
  <c r="N56" i="1" s="1"/>
  <c r="U55" i="1"/>
  <c r="T55" i="1"/>
  <c r="Y55" i="1" s="1"/>
  <c r="L55" i="1"/>
  <c r="N55" i="1" s="1"/>
  <c r="U54" i="1"/>
  <c r="T54" i="1"/>
  <c r="Y54" i="1" s="1"/>
  <c r="L54" i="1"/>
  <c r="N54" i="1" s="1"/>
  <c r="U53" i="1"/>
  <c r="T53" i="1"/>
  <c r="Y53" i="1" s="1"/>
  <c r="L53" i="1"/>
  <c r="N53" i="1" s="1"/>
  <c r="U52" i="1"/>
  <c r="T52" i="1"/>
  <c r="Y52" i="1" s="1"/>
  <c r="L52" i="1"/>
  <c r="U51" i="1"/>
  <c r="T51" i="1"/>
  <c r="Y51" i="1" s="1"/>
  <c r="L51" i="1"/>
  <c r="N51" i="1" s="1"/>
  <c r="U50" i="1"/>
  <c r="T50" i="1"/>
  <c r="Y50" i="1" s="1"/>
  <c r="L50" i="1"/>
  <c r="U49" i="1"/>
  <c r="T49" i="1"/>
  <c r="Y49" i="1" s="1"/>
  <c r="L49" i="1"/>
  <c r="U48" i="1"/>
  <c r="T48" i="1"/>
  <c r="Y48" i="1" s="1"/>
  <c r="L48" i="1"/>
  <c r="N48" i="1" s="1"/>
  <c r="U47" i="1"/>
  <c r="T47" i="1"/>
  <c r="Y47" i="1" s="1"/>
  <c r="L47" i="1"/>
  <c r="N47" i="1" s="1"/>
  <c r="U46" i="1"/>
  <c r="T46" i="1"/>
  <c r="Y46" i="1" s="1"/>
  <c r="L46" i="1"/>
  <c r="N46" i="1" s="1"/>
  <c r="U45" i="1"/>
  <c r="T45" i="1"/>
  <c r="Y45" i="1" s="1"/>
  <c r="L45" i="1"/>
  <c r="N45" i="1" s="1"/>
  <c r="U44" i="1"/>
  <c r="T44" i="1"/>
  <c r="Y44" i="1" s="1"/>
  <c r="L44" i="1"/>
  <c r="N44" i="1" s="1"/>
  <c r="U43" i="1"/>
  <c r="T43" i="1"/>
  <c r="Y43" i="1" s="1"/>
  <c r="L43" i="1"/>
  <c r="N43" i="1" s="1"/>
  <c r="U42" i="1"/>
  <c r="T42" i="1"/>
  <c r="Y42" i="1" s="1"/>
  <c r="L42" i="1"/>
  <c r="U41" i="1"/>
  <c r="T41" i="1"/>
  <c r="Y41" i="1" s="1"/>
  <c r="L41" i="1"/>
  <c r="N41" i="1" s="1"/>
  <c r="U40" i="1"/>
  <c r="T40" i="1"/>
  <c r="Y40" i="1" s="1"/>
  <c r="L40" i="1"/>
  <c r="N40" i="1" s="1"/>
  <c r="U39" i="1"/>
  <c r="T39" i="1"/>
  <c r="Y39" i="1" s="1"/>
  <c r="L39" i="1"/>
  <c r="N39" i="1" s="1"/>
  <c r="Y38" i="1"/>
  <c r="U38" i="1"/>
  <c r="T38" i="1"/>
  <c r="L38" i="1"/>
  <c r="N38" i="1" s="1"/>
  <c r="U37" i="1"/>
  <c r="T37" i="1"/>
  <c r="Y37" i="1" s="1"/>
  <c r="L37" i="1"/>
  <c r="N37" i="1" s="1"/>
  <c r="U36" i="1"/>
  <c r="T36" i="1"/>
  <c r="Y36" i="1" s="1"/>
  <c r="L36" i="1"/>
  <c r="N36" i="1" s="1"/>
  <c r="U35" i="1"/>
  <c r="T35" i="1"/>
  <c r="Y35" i="1" s="1"/>
  <c r="L35" i="1"/>
  <c r="U34" i="1"/>
  <c r="T34" i="1"/>
  <c r="Y34" i="1" s="1"/>
  <c r="L34" i="1"/>
  <c r="N34" i="1" s="1"/>
  <c r="U33" i="1"/>
  <c r="T33" i="1"/>
  <c r="Y33" i="1" s="1"/>
  <c r="L33" i="1"/>
  <c r="N33" i="1" s="1"/>
  <c r="U32" i="1"/>
  <c r="T32" i="1"/>
  <c r="Y32" i="1" s="1"/>
  <c r="L32" i="1"/>
  <c r="U31" i="1"/>
  <c r="T31" i="1"/>
  <c r="Y31" i="1" s="1"/>
  <c r="L31" i="1"/>
  <c r="U30" i="1"/>
  <c r="T30" i="1"/>
  <c r="Y30" i="1" s="1"/>
  <c r="L30" i="1"/>
  <c r="N30" i="1" s="1"/>
  <c r="U29" i="1"/>
  <c r="T29" i="1"/>
  <c r="Y29" i="1" s="1"/>
  <c r="L29" i="1"/>
  <c r="U28" i="1"/>
  <c r="T28" i="1"/>
  <c r="Y28" i="1" s="1"/>
  <c r="L28" i="1"/>
  <c r="U27" i="1"/>
  <c r="T27" i="1"/>
  <c r="Y27" i="1" s="1"/>
  <c r="L27" i="1"/>
  <c r="U26" i="1"/>
  <c r="T26" i="1"/>
  <c r="Y26" i="1" s="1"/>
  <c r="L26" i="1"/>
  <c r="U25" i="1"/>
  <c r="T25" i="1"/>
  <c r="Y25" i="1" s="1"/>
  <c r="L25" i="1"/>
  <c r="U24" i="1"/>
  <c r="T24" i="1"/>
  <c r="Y24" i="1" s="1"/>
  <c r="L24" i="1"/>
  <c r="U23" i="1"/>
  <c r="T23" i="1"/>
  <c r="Y23" i="1" s="1"/>
  <c r="L23" i="1"/>
  <c r="N23" i="1" s="1"/>
  <c r="U22" i="1"/>
  <c r="T22" i="1"/>
  <c r="Y22" i="1" s="1"/>
  <c r="L22" i="1"/>
  <c r="N22" i="1" s="1"/>
  <c r="U21" i="1"/>
  <c r="T21" i="1"/>
  <c r="Y21" i="1" s="1"/>
  <c r="L21" i="1"/>
  <c r="N21" i="1" s="1"/>
  <c r="U20" i="1"/>
  <c r="T20" i="1"/>
  <c r="Y20" i="1" s="1"/>
  <c r="L20" i="1"/>
  <c r="U19" i="1"/>
  <c r="T19" i="1"/>
  <c r="Y19" i="1" s="1"/>
  <c r="L19" i="1"/>
  <c r="N19" i="1" s="1"/>
  <c r="U18" i="1"/>
  <c r="T18" i="1"/>
  <c r="Y18" i="1" s="1"/>
  <c r="L18" i="1"/>
  <c r="N18" i="1" s="1"/>
  <c r="Y17" i="1"/>
  <c r="U17" i="1"/>
  <c r="T17" i="1"/>
  <c r="L17" i="1"/>
  <c r="N17" i="1" s="1"/>
  <c r="U16" i="1"/>
  <c r="T16" i="1"/>
  <c r="Y16" i="1" s="1"/>
  <c r="L16" i="1"/>
  <c r="U15" i="1"/>
  <c r="T15" i="1"/>
  <c r="Y15" i="1" s="1"/>
  <c r="L15" i="1"/>
  <c r="U14" i="1"/>
  <c r="T14" i="1"/>
  <c r="Y14" i="1" s="1"/>
  <c r="L14" i="1"/>
  <c r="U13" i="1"/>
  <c r="T13" i="1"/>
  <c r="Y13" i="1" s="1"/>
  <c r="L13" i="1"/>
  <c r="N13" i="1" s="1"/>
  <c r="U12" i="1"/>
  <c r="T12" i="1"/>
  <c r="Y12" i="1" s="1"/>
  <c r="L12" i="1"/>
  <c r="U11" i="1"/>
  <c r="T11" i="1"/>
  <c r="Y11" i="1" s="1"/>
  <c r="L11" i="1"/>
  <c r="N11" i="1" s="1"/>
  <c r="U10" i="1"/>
  <c r="T10" i="1"/>
  <c r="Y10" i="1" s="1"/>
  <c r="L10" i="1"/>
  <c r="N10" i="1" s="1"/>
  <c r="U9" i="1"/>
  <c r="T9" i="1"/>
  <c r="Y9" i="1" s="1"/>
  <c r="L9" i="1"/>
  <c r="N9" i="1" s="1"/>
  <c r="U8" i="1"/>
  <c r="T8" i="1"/>
  <c r="Y8" i="1" s="1"/>
  <c r="L8" i="1"/>
  <c r="N8" i="1" s="1"/>
  <c r="U7" i="1"/>
  <c r="T7" i="1"/>
  <c r="Y7" i="1" s="1"/>
  <c r="L7" i="1"/>
  <c r="N7" i="1" s="1"/>
  <c r="U6" i="1"/>
  <c r="T6" i="1"/>
  <c r="Y6" i="1" s="1"/>
  <c r="L6" i="1"/>
  <c r="N6" i="1" s="1"/>
  <c r="U5" i="1"/>
  <c r="T5" i="1"/>
  <c r="Y5" i="1" s="1"/>
  <c r="L5" i="1"/>
  <c r="U4" i="1"/>
  <c r="T4" i="1"/>
  <c r="Y4" i="1" s="1"/>
  <c r="L4" i="1"/>
  <c r="U3" i="1"/>
  <c r="T3" i="1"/>
  <c r="Y3" i="1" s="1"/>
  <c r="L3" i="1"/>
  <c r="N3" i="1" s="1"/>
  <c r="U2" i="1"/>
  <c r="T2" i="1"/>
  <c r="Y2" i="1" s="1"/>
  <c r="L2" i="1"/>
  <c r="N2" i="1" s="1"/>
</calcChain>
</file>

<file path=xl/sharedStrings.xml><?xml version="1.0" encoding="utf-8"?>
<sst xmlns="http://schemas.openxmlformats.org/spreadsheetml/2006/main" count="2899" uniqueCount="682">
  <si>
    <t>NUMERO DE RECIBO</t>
  </si>
  <si>
    <t>PERIODO</t>
  </si>
  <si>
    <t>FECHA DE VENCIMIENTO</t>
  </si>
  <si>
    <t>FECHA DE EMISIÓN</t>
  </si>
  <si>
    <t>LECTURA ANTERIOR</t>
  </si>
  <si>
    <t>LECTURA ACTUAL</t>
  </si>
  <si>
    <t>NOMBRES</t>
  </si>
  <si>
    <t>MZ</t>
  </si>
  <si>
    <t>LT</t>
  </si>
  <si>
    <t>Marcación anterior</t>
  </si>
  <si>
    <t>Marcacion altual</t>
  </si>
  <si>
    <t>M3</t>
  </si>
  <si>
    <t>Total mes actual</t>
  </si>
  <si>
    <t>MES ANTERIOR</t>
  </si>
  <si>
    <t>Corte y reconexion</t>
  </si>
  <si>
    <t>Convenio</t>
  </si>
  <si>
    <t>Mantenimiento</t>
  </si>
  <si>
    <t>Total</t>
  </si>
  <si>
    <t>Estado</t>
  </si>
  <si>
    <t>fecha pago</t>
  </si>
  <si>
    <t>Multa (faena + reunión)</t>
  </si>
  <si>
    <t>Cuota directa</t>
  </si>
  <si>
    <t>Importe a pagar</t>
  </si>
  <si>
    <t>11/04/2026 al 10/05/2026</t>
  </si>
  <si>
    <t>MARCELINA OBREGON DE AVILA</t>
  </si>
  <si>
    <t>A</t>
  </si>
  <si>
    <t>1</t>
  </si>
  <si>
    <t>PAGO PRESENCIAL:  05/06 de 4-6 pm (LOCAL DEL PUEBLO), PAGO YAPE: 948 227 636</t>
  </si>
  <si>
    <t>ROSA AURORA ROCA VIDAL</t>
  </si>
  <si>
    <t>2</t>
  </si>
  <si>
    <t>LINDA PAJUELO COCHACHIN</t>
  </si>
  <si>
    <t>3</t>
  </si>
  <si>
    <t>YOLANDA ESPINOZA JAIMES</t>
  </si>
  <si>
    <t>4</t>
  </si>
  <si>
    <t>JULIA AGAMA CUZCO</t>
  </si>
  <si>
    <t>5</t>
  </si>
  <si>
    <t>ESTEBAN REYES SANCHEZ</t>
  </si>
  <si>
    <t>6</t>
  </si>
  <si>
    <t>JUAN CARLOS MELGAREJO BEDON</t>
  </si>
  <si>
    <t>7</t>
  </si>
  <si>
    <t>VICTOR MELGAREJO CORCINO</t>
  </si>
  <si>
    <t>8</t>
  </si>
  <si>
    <t>ALEJANDRO MELGAREJO ESPINOZA</t>
  </si>
  <si>
    <t>9</t>
  </si>
  <si>
    <t>ISABEL PUNTILLO VEGA</t>
  </si>
  <si>
    <t>10</t>
  </si>
  <si>
    <t>FELIX POZO CASTRO</t>
  </si>
  <si>
    <t>11</t>
  </si>
  <si>
    <t>JHONI MELGAREJO BEDON</t>
  </si>
  <si>
    <t>8A</t>
  </si>
  <si>
    <t>GABY REYES JUAREZ</t>
  </si>
  <si>
    <t>6A</t>
  </si>
  <si>
    <t>GRICEL PAOLA DE LA CRUZ</t>
  </si>
  <si>
    <t>10A</t>
  </si>
  <si>
    <t>GENARO FRANCISCO CHINCHAY</t>
  </si>
  <si>
    <t>A1</t>
  </si>
  <si>
    <t>EUGENIA UTRILLA FRANCISCO</t>
  </si>
  <si>
    <t>ODELIO DELGADO OBREGON</t>
  </si>
  <si>
    <t>RAUL DELGADO OBREGON</t>
  </si>
  <si>
    <t>3A</t>
  </si>
  <si>
    <t>ALBERTO CHINCHAY PARIAMACHI</t>
  </si>
  <si>
    <t>WASHINTON MEDRANO MALLMA</t>
  </si>
  <si>
    <t>ALAN GARCIA ZORRILLA</t>
  </si>
  <si>
    <t>ERIKA MARIBEL AMBROSIO</t>
  </si>
  <si>
    <t>TEODORO AVILA LOPEZ</t>
  </si>
  <si>
    <t>DIEGO LÓPEZ MUÑOZ</t>
  </si>
  <si>
    <t>12</t>
  </si>
  <si>
    <t>REIMI VILLANUEVA ALEGRIA</t>
  </si>
  <si>
    <t>13</t>
  </si>
  <si>
    <t>LILIANA REQUEZ MENDOZA</t>
  </si>
  <si>
    <t>ROQUE GAUDENCIO SALES VEGA</t>
  </si>
  <si>
    <t>ENRIQUE TRUJILLO LOERA</t>
  </si>
  <si>
    <t>ROSALINA OLIMPIA CIRIACO SOTELO</t>
  </si>
  <si>
    <t>B</t>
  </si>
  <si>
    <t>MARCELINO FELIX VILLAFANA PALLACA</t>
  </si>
  <si>
    <t>TEOFILO BRUNO RAMOS DE LA CRUZ</t>
  </si>
  <si>
    <t>BACILIO UTRILLA FRANCISCO</t>
  </si>
  <si>
    <t>ESTEBAN REYNALDO ROSALES</t>
  </si>
  <si>
    <t>ELEUTERIA DOMITILA PARIAMACHI DE PAZ</t>
  </si>
  <si>
    <t>16</t>
  </si>
  <si>
    <t>EDUARDO REYNALDO ROSALES</t>
  </si>
  <si>
    <t>MELINA J. JUAREZ TOLEDO DE MORENO</t>
  </si>
  <si>
    <t>POMPEYO CELESTINO LLIUYA</t>
  </si>
  <si>
    <t>JANET FERNANDEZ MINAYA</t>
  </si>
  <si>
    <t>20</t>
  </si>
  <si>
    <t>ROSA VICTORIA MILLA MORALES</t>
  </si>
  <si>
    <t>LIRIA PARIAMACHI DE PAZ</t>
  </si>
  <si>
    <t>ALEJANDRO RAPRAY VELASQUEZ</t>
  </si>
  <si>
    <t>ELVIRA PASCUALA MINAYA TAHUA</t>
  </si>
  <si>
    <t>SALOME AGUSTINA DIAZ VARGAS</t>
  </si>
  <si>
    <t>MELISSA ISABEL PILLACA GARCIA</t>
  </si>
  <si>
    <t>19</t>
  </si>
  <si>
    <t>LUZ DINA MIRAVAL HUERTA</t>
  </si>
  <si>
    <t>17</t>
  </si>
  <si>
    <t>CLETO TENORIO MORI</t>
  </si>
  <si>
    <t>18</t>
  </si>
  <si>
    <t>CAMILA HIDALGO</t>
  </si>
  <si>
    <t>14</t>
  </si>
  <si>
    <t>ROSMERI SANCHEZ ESPADA</t>
  </si>
  <si>
    <t>12A</t>
  </si>
  <si>
    <t>SAORY RAPRAY SILVA</t>
  </si>
  <si>
    <t>15</t>
  </si>
  <si>
    <t>FELIX POMA DE LA CRUZ</t>
  </si>
  <si>
    <t>B1</t>
  </si>
  <si>
    <t>JOHAN ENSO RODRIGUEZ FLORES</t>
  </si>
  <si>
    <t>EDGAR AGUSTIN SANCHEZ</t>
  </si>
  <si>
    <t>FILOMENO PAUCAR CENTENO</t>
  </si>
  <si>
    <t>IRMA GLADIS ROJAS CABRACANCHA</t>
  </si>
  <si>
    <t>DEONICIA CORAQUILLO VALERIO</t>
  </si>
  <si>
    <t>PATRICIA POLO CIRILO</t>
  </si>
  <si>
    <t>NILDA SALES BLAS</t>
  </si>
  <si>
    <t>ELEODORO AVILA VALLADARES</t>
  </si>
  <si>
    <t>DANIEL AVILA OBREGON</t>
  </si>
  <si>
    <t>ALEJANDRA LOPEZ CANTARO</t>
  </si>
  <si>
    <t>MARIA COSME JULCA</t>
  </si>
  <si>
    <t>MIGUEL AMBROSIO COSME</t>
  </si>
  <si>
    <t>NORMA ELVIRA PALMADERA CORAQUILLO</t>
  </si>
  <si>
    <t>VICTOR LOPEZ TRUJILLO</t>
  </si>
  <si>
    <t>C</t>
  </si>
  <si>
    <t>JULISSA BARRETO QUITO</t>
  </si>
  <si>
    <t>JAZMIN QUITO SANCHEZ</t>
  </si>
  <si>
    <t>8B</t>
  </si>
  <si>
    <t>JUAN UCULMANA SANCHEZ</t>
  </si>
  <si>
    <t>PUESTO DE SALUD TUPAC AMARU</t>
  </si>
  <si>
    <t>21</t>
  </si>
  <si>
    <t>ODILON CERNA ROMERO</t>
  </si>
  <si>
    <t>OLGA FLORENTINA HUERTA AGAMA</t>
  </si>
  <si>
    <t>TIMOTEO ROMERO JULCA</t>
  </si>
  <si>
    <t>AGAPITO PRINCIPE SALINAS</t>
  </si>
  <si>
    <t>DIANA JARA TRUJILLO</t>
  </si>
  <si>
    <t>CEVERIANO CHAUCA MORALES</t>
  </si>
  <si>
    <t>MACEDONIO MORALES BENTURO</t>
  </si>
  <si>
    <t>ANALY QUINECHE MORANTE</t>
  </si>
  <si>
    <t>35</t>
  </si>
  <si>
    <t>IRMA HUAÑAHUI LOPEZ</t>
  </si>
  <si>
    <t>JUAN RIOS BLAS</t>
  </si>
  <si>
    <t>JULIO RIOS BLAS</t>
  </si>
  <si>
    <t>JANET EVARISTO COCHACHIN</t>
  </si>
  <si>
    <t>43</t>
  </si>
  <si>
    <t>MARTHA MASIAS CASIHUAMAN DE TERAN</t>
  </si>
  <si>
    <t>MARCELINO VALLADARES TRUJILLO</t>
  </si>
  <si>
    <t>ANTONIO VALLADARES DOMINGUEZ</t>
  </si>
  <si>
    <t>EUSEBIO REYES VILLAFANA</t>
  </si>
  <si>
    <t>ABRAHAM BARRERA VEGA</t>
  </si>
  <si>
    <t>22</t>
  </si>
  <si>
    <t>ANTONIA MAYO TRUJILLO</t>
  </si>
  <si>
    <t>23</t>
  </si>
  <si>
    <t>ALFREDO CARLOS VENTURO CAPCHA</t>
  </si>
  <si>
    <t>24</t>
  </si>
  <si>
    <t>JULIO HUERTA MILLA</t>
  </si>
  <si>
    <t>25</t>
  </si>
  <si>
    <t>CORCINO RODRIGUEZ RIVERA</t>
  </si>
  <si>
    <t>26</t>
  </si>
  <si>
    <t>NANCY VALERIANA FLORES LEON</t>
  </si>
  <si>
    <t>27</t>
  </si>
  <si>
    <t>OSTIN AGÜERO TRUJILLO</t>
  </si>
  <si>
    <t>28</t>
  </si>
  <si>
    <t>SONIA CERNA MELGAREJO</t>
  </si>
  <si>
    <t>30</t>
  </si>
  <si>
    <t>IGLESIA ADVENTISTA DEL SEPTIMO DIA</t>
  </si>
  <si>
    <t>FAUSTA HUERTA AGAMA</t>
  </si>
  <si>
    <t>32</t>
  </si>
  <si>
    <t>EDITA ROMERO MAYO</t>
  </si>
  <si>
    <t>33</t>
  </si>
  <si>
    <t>EBER AGÜERO TRUJILLO</t>
  </si>
  <si>
    <t>34</t>
  </si>
  <si>
    <t>MARIA NORABUENA ESPADA</t>
  </si>
  <si>
    <t>36</t>
  </si>
  <si>
    <t>RAQUEL SORIA BUSTAMANTE</t>
  </si>
  <si>
    <t>37</t>
  </si>
  <si>
    <t>JANET ROMERO MAYO</t>
  </si>
  <si>
    <t>39</t>
  </si>
  <si>
    <t>SONIA GLORIA MORENO CASTILLEJO</t>
  </si>
  <si>
    <t>9A</t>
  </si>
  <si>
    <t>EDWIN AGÜERO TRUJILLO</t>
  </si>
  <si>
    <t>SILVESTRA CATALINA CHAVEZ ESPINOZA</t>
  </si>
  <si>
    <t>PRONOEI Y JASS</t>
  </si>
  <si>
    <t>RUBEN REYES VILLAFUANA</t>
  </si>
  <si>
    <t>27A</t>
  </si>
  <si>
    <t>CARMEN PEREZ MONTES</t>
  </si>
  <si>
    <t>29</t>
  </si>
  <si>
    <t>EDDY SANTIAGO GARCILAZO TRUJILLO</t>
  </si>
  <si>
    <t>29A</t>
  </si>
  <si>
    <t>MARILUZ MELGAREJO BEDON</t>
  </si>
  <si>
    <t>38</t>
  </si>
  <si>
    <t>LUIS MELGAREJO MELENDEZ</t>
  </si>
  <si>
    <t>44</t>
  </si>
  <si>
    <t>BIANA JOSEFINA LOZANO MINAYA</t>
  </si>
  <si>
    <t>C1</t>
  </si>
  <si>
    <t>DELFINA POMALLANQUI GOMEZ</t>
  </si>
  <si>
    <t>JUDIT PIMENTEL ESTRADA</t>
  </si>
  <si>
    <t>EUGENIA ESCUDERO SOLANO</t>
  </si>
  <si>
    <t>DELIA VENTURO MORALES</t>
  </si>
  <si>
    <t>JENNY LINO ILLAJANQUI</t>
  </si>
  <si>
    <t>SANTA ROSALINA HUERTA NEPONOCENO</t>
  </si>
  <si>
    <t>ANDREZ NIETO CASTAÑEDA</t>
  </si>
  <si>
    <t>EVER CERVANTES CHAVES</t>
  </si>
  <si>
    <t>AUBERTINA TRUJILLO TOLENTINO</t>
  </si>
  <si>
    <t>MARI CELIDONIO CHAVEZ</t>
  </si>
  <si>
    <t>ROBERTO MACARLOPU FLORES</t>
  </si>
  <si>
    <t>SANTA ANTONIA SAENZ TICLIO</t>
  </si>
  <si>
    <t>D</t>
  </si>
  <si>
    <t>JUAN VENTURO CAPCHA</t>
  </si>
  <si>
    <t>VICTOR TRUJILLO POLICARPIO</t>
  </si>
  <si>
    <t>ANTONIO CASTILLEJO CUEVA</t>
  </si>
  <si>
    <t>JULIO CESAR PRINCIPE LUNA</t>
  </si>
  <si>
    <t>TERESA PAULA JARA DE FERNANDEZ</t>
  </si>
  <si>
    <t>HERMELINDA JARA TRUJILLO</t>
  </si>
  <si>
    <t>MAXIMILIANO JARA NIETO</t>
  </si>
  <si>
    <t>RUFINA CABELLO TICLIO</t>
  </si>
  <si>
    <t>LIDIA ASTERIA SALES BLAS</t>
  </si>
  <si>
    <t>SALOMON RODRIGUEZ GARCIA</t>
  </si>
  <si>
    <t>MARTINA MENDOZA ROMERO</t>
  </si>
  <si>
    <t>ROSELA ELVIRA MUÑOZ HERMITAÑO</t>
  </si>
  <si>
    <t>ESTEBAN GUERRERO CHINGEL</t>
  </si>
  <si>
    <t>MACARIO REQUEZ ROMERO</t>
  </si>
  <si>
    <t>LUIS GERARDO SAAVEDRA SAAVEDRA</t>
  </si>
  <si>
    <t>FELIPE DOMINGO VENTURO CAPCHA</t>
  </si>
  <si>
    <t>ADOLFO GUILLERMO JARA TRUJILLO</t>
  </si>
  <si>
    <t>ELAMI AZUCENA ULLOA</t>
  </si>
  <si>
    <t>D1</t>
  </si>
  <si>
    <t>MARGARITA CRIOLLO GASPAR</t>
  </si>
  <si>
    <t>JUANA LOPEZ CANTARO</t>
  </si>
  <si>
    <t>ONITA PONTE EGUIZABAL</t>
  </si>
  <si>
    <t>FAUSTINA POMALLANQUI GOMEZ</t>
  </si>
  <si>
    <t>ELMER MELENDEZ BLAS</t>
  </si>
  <si>
    <t>YOLANDA MATILDE MONTALVO COSME</t>
  </si>
  <si>
    <t>E</t>
  </si>
  <si>
    <t>DARIO ROSALES TICLIO</t>
  </si>
  <si>
    <t>FELIX ENRIQUE VALENCIA FERNANDEZ</t>
  </si>
  <si>
    <t>FELIX VELASQUEZ LOPEZ</t>
  </si>
  <si>
    <t>LUIS ALBERTO GOMEZ LAHUANA</t>
  </si>
  <si>
    <t>GREGORIO TRUJILLO LEON</t>
  </si>
  <si>
    <t>GERTRUDES VIDAL GONZALES</t>
  </si>
  <si>
    <t>MARIA NANCY SIGUEÑAS UGARTE</t>
  </si>
  <si>
    <t>GREGORIA SIGUEÑAS UGARTE</t>
  </si>
  <si>
    <t>VILMA SIGUEÑAS UGARTE</t>
  </si>
  <si>
    <t>TEOFILA FERNANDEZ REYES</t>
  </si>
  <si>
    <t>LINDOLINA MUÑOZ HERMITAÑO</t>
  </si>
  <si>
    <t>FELICIANO SIGUEÑAS UGARTE</t>
  </si>
  <si>
    <t>MERCADO TUPAC AMARU</t>
  </si>
  <si>
    <t>JUAN SAAVEDRA SAAVEDRA</t>
  </si>
  <si>
    <t>14 B</t>
  </si>
  <si>
    <t>JORGE ROSALES ROMERO</t>
  </si>
  <si>
    <t>2A</t>
  </si>
  <si>
    <t>FAUSTINO POMA PALLACA</t>
  </si>
  <si>
    <t>JHONNY SALOMON NIÑO ORTIZ</t>
  </si>
  <si>
    <t>E1</t>
  </si>
  <si>
    <t>KAREN JAIMES TRUJILLO</t>
  </si>
  <si>
    <t>MARIA SEGURA MELCHOR</t>
  </si>
  <si>
    <t>NOEMI CADILLO ROJAS</t>
  </si>
  <si>
    <t>JULIO VEGA CERDA</t>
  </si>
  <si>
    <t>SONIA ÑAÑAC</t>
  </si>
  <si>
    <t>JUAN ENCARNACION RACACHA</t>
  </si>
  <si>
    <t>RENEE MEDRANO MALLMA</t>
  </si>
  <si>
    <t>AREA COMUNAL DEL PUEBLO</t>
  </si>
  <si>
    <t>CAMILA DELGADO VEGA</t>
  </si>
  <si>
    <t>F</t>
  </si>
  <si>
    <t>DARIO OCTAVIO VEGA JULCA</t>
  </si>
  <si>
    <t>DARIO SAENZ MURPHY</t>
  </si>
  <si>
    <t>MARIA GODO SIFUENTES</t>
  </si>
  <si>
    <t>TOLENTINO JULCA MORENO</t>
  </si>
  <si>
    <t>TEOFILO AYALA GASPAR</t>
  </si>
  <si>
    <t>ALBERTO TARAZONA CALDAS</t>
  </si>
  <si>
    <t>VICTOR LAURENCIO VALLADARES</t>
  </si>
  <si>
    <t>GUDELIA ELIZABETH MIRANDA VEGA</t>
  </si>
  <si>
    <t>ROSA LUCIA CORONADO LUNA</t>
  </si>
  <si>
    <t>HERMINIO LUCERO TRUJILLO</t>
  </si>
  <si>
    <t>JANETH CHAVEZ CASTILLEJO</t>
  </si>
  <si>
    <t>RODRIGO PODESTA ROSAS</t>
  </si>
  <si>
    <t>ABIGAIL SONIA GASPAR VEGA</t>
  </si>
  <si>
    <t>MELQUIADES SULCA HUAMANI</t>
  </si>
  <si>
    <t>NEMECIO AVELINO NOLASCO</t>
  </si>
  <si>
    <t>F1</t>
  </si>
  <si>
    <t>ANI CRUZ DOMINGUEZ</t>
  </si>
  <si>
    <t>CESAR ALFREDO VIRU GASPAR</t>
  </si>
  <si>
    <t>EFRAIN CANDACHO HUARAC</t>
  </si>
  <si>
    <t>JUAN BAUTISTA PEREZ</t>
  </si>
  <si>
    <t>RUBEN MORALES VELASQUEZ</t>
  </si>
  <si>
    <t>LUZ GASPAR VENTURA</t>
  </si>
  <si>
    <t>MARIA ELIZABETH SILVA SOSA</t>
  </si>
  <si>
    <t>ANTONIO GUTIERREZ PACHAMANGO</t>
  </si>
  <si>
    <t>ESTELA FLORES LOAYZA</t>
  </si>
  <si>
    <t>RUTH LURDINA MILLA CRUZ</t>
  </si>
  <si>
    <t>SANTA ANGELICA VALLLADARES DOMINGUEZ</t>
  </si>
  <si>
    <t>ANTONIA MELGAREJO CORCINO</t>
  </si>
  <si>
    <t>G</t>
  </si>
  <si>
    <t>RODRIGO SAAVEDRA TRUJILLO</t>
  </si>
  <si>
    <t>MARITZA ALBORNOZ SIGUEÑAS</t>
  </si>
  <si>
    <t>16A</t>
  </si>
  <si>
    <t>DEYSI COSME GARCILAZO</t>
  </si>
  <si>
    <t>21A</t>
  </si>
  <si>
    <t>SOFIA FRANCISCO CHINCHAY</t>
  </si>
  <si>
    <t>SERAPIO FERNANDO CARRION MENDOZA</t>
  </si>
  <si>
    <t>JACINTO MORENO BAUTISTA</t>
  </si>
  <si>
    <t>SANTOS BAUTISTA CAPCHA</t>
  </si>
  <si>
    <t>RAQUEL MABEL AVILA MORALES</t>
  </si>
  <si>
    <t>NATALIA CHINCHAY COLLAS</t>
  </si>
  <si>
    <t>COMEDOR POPULAR CENTRO DE MADRES</t>
  </si>
  <si>
    <t>VICTOR MANUEL JARA ESPINOZA</t>
  </si>
  <si>
    <t>CELICA TRUJILLO LUCIANO</t>
  </si>
  <si>
    <t>ELEUTERIO OCAÑA ROMERO</t>
  </si>
  <si>
    <t>ERNESTINA VALLADARES TRUJILLO</t>
  </si>
  <si>
    <t>REYNALDO MELGAREJO VILCARINO</t>
  </si>
  <si>
    <t>MARGARITA GOMEZ BONIFACIO</t>
  </si>
  <si>
    <t>BERNARDO AGUILAR HUAMAN</t>
  </si>
  <si>
    <t>CRISOSTOMO ALBORNOZ TICLIO</t>
  </si>
  <si>
    <t>CARLOS ALBERTO SIGUENAS SAENZ</t>
  </si>
  <si>
    <t>BENITA LEON JARA</t>
  </si>
  <si>
    <t>AUGUSTO ROMERO VALLADARES</t>
  </si>
  <si>
    <t>ANA ROMERO VALLADARES</t>
  </si>
  <si>
    <t>NELSON COSME GARCILAZO</t>
  </si>
  <si>
    <t>HIPOLITO RAMIREZ CENTENO</t>
  </si>
  <si>
    <t>WILDA CLEOFE ROMERO VALLADARES</t>
  </si>
  <si>
    <t>CRESOSTO ALBORNOZ TICLLIO</t>
  </si>
  <si>
    <t>16B</t>
  </si>
  <si>
    <t>ELOY SIGUEÑAS UGARTE</t>
  </si>
  <si>
    <t>16C</t>
  </si>
  <si>
    <t>GILBERTO LUIS MEZA</t>
  </si>
  <si>
    <t>G1</t>
  </si>
  <si>
    <t>VIKY SALES PROLEON</t>
  </si>
  <si>
    <t>ROSSANA SAMARITANO HEREDIA</t>
  </si>
  <si>
    <t>JHON SAMARITANO HEREDIA</t>
  </si>
  <si>
    <t>ANA GONZALES SOTO</t>
  </si>
  <si>
    <t>YOLIT VILLANUEVA ALEGRIA</t>
  </si>
  <si>
    <t>EUGENIA HERREDIA DE SAMARITANO</t>
  </si>
  <si>
    <t>YONY JOSE SAMARITANO HERREDIA</t>
  </si>
  <si>
    <t>JOSE FRANCISCO SAMARITANO HUAPAYA</t>
  </si>
  <si>
    <t>TANIA SAMARITANO HERREDIA</t>
  </si>
  <si>
    <t>ANTONY JAVIER CRUZ SAMARITANO</t>
  </si>
  <si>
    <t>IESIY BELEN LOPEZ SAMARITANO</t>
  </si>
  <si>
    <t>MARUJA AMALIA SAMARUTANIO</t>
  </si>
  <si>
    <t>FREDY INGA GAMARA</t>
  </si>
  <si>
    <t>LOLA PARIONA LEYVA</t>
  </si>
  <si>
    <t>MARCIAL MILLA CRUZ</t>
  </si>
  <si>
    <t>H</t>
  </si>
  <si>
    <t>GREGORIO TOLENTINO SANCHEZ</t>
  </si>
  <si>
    <t>CIPRIANO LOZANO MINAYA</t>
  </si>
  <si>
    <t>ORLANDO EVARISTO COCHACHIN</t>
  </si>
  <si>
    <t>ESTEBAN DE PAZ LLIUYA</t>
  </si>
  <si>
    <t>JUSTINA DE PAZ VILLAFANA</t>
  </si>
  <si>
    <t>GISELLA YESSICA DELGADO VEGA</t>
  </si>
  <si>
    <t>ALVINO CASTILLEJO VENTURO</t>
  </si>
  <si>
    <t>PEDRO PALMADERA HERRERA</t>
  </si>
  <si>
    <t>ALEJANDRO GASPAR OLORTEGUI</t>
  </si>
  <si>
    <t>CLEMENTE RODRIGUEZ ROJAS</t>
  </si>
  <si>
    <t>JULIO MAYO TRUJILLO</t>
  </si>
  <si>
    <t>ALEJANDRO LOPEZ ZORRILLA</t>
  </si>
  <si>
    <t>GODOFREDO VASQUEZ LOAYSA</t>
  </si>
  <si>
    <t>JUSTINA ALEGRIA VDA. DE VILLANUEVA</t>
  </si>
  <si>
    <t>CIRIACO MORALES LOPEZ</t>
  </si>
  <si>
    <t>JULIO NIETO ORTIZ</t>
  </si>
  <si>
    <t>FRANCISCO MORENO VARA</t>
  </si>
  <si>
    <t>ANSELMO BELVEDER NUÑEZ</t>
  </si>
  <si>
    <t>ROMAN LOZANO MINAYA</t>
  </si>
  <si>
    <t>BEATRIZ EDITA TAMARA LLANQUE</t>
  </si>
  <si>
    <t>INOCENTA MILLA BOTELLO</t>
  </si>
  <si>
    <t>H1</t>
  </si>
  <si>
    <t>JORGE ORENCIO MORENO ROSALES</t>
  </si>
  <si>
    <t>LIZBET VILLANUEVA ALEGRIA</t>
  </si>
  <si>
    <t>MARYURI ZAPATA MARTINEZ</t>
  </si>
  <si>
    <t>YICSON ZAPATA MARTINEZ</t>
  </si>
  <si>
    <t>JIMN ZAPATA MARTINEZ</t>
  </si>
  <si>
    <t>FELICIA ZAPATA FLORES</t>
  </si>
  <si>
    <t>DAVID LUIS EVARISTO</t>
  </si>
  <si>
    <t>DANTE MEZA MONTALVO</t>
  </si>
  <si>
    <t>JUAN CARLOS GRACIANO SALES</t>
  </si>
  <si>
    <t>PATRICIA TARAZONA CARBAJAL</t>
  </si>
  <si>
    <t>MARLENY SAMARITANO HEREDIA</t>
  </si>
  <si>
    <t>OLINDA ASCURRA CONTRERAS</t>
  </si>
  <si>
    <t>TITO COSME CASTILLEJO</t>
  </si>
  <si>
    <t>ZENON MARTIN BURGA TORRES</t>
  </si>
  <si>
    <t>OSWALDO WALTER OCAÑA CASCA</t>
  </si>
  <si>
    <t>NELSON NOE MONTALVO CANO</t>
  </si>
  <si>
    <t>LOLA MAURICIA ZORRILLA MEDINA</t>
  </si>
  <si>
    <t>I</t>
  </si>
  <si>
    <t>ELEUTERIA LIBIA PAJUELO ATANACIO</t>
  </si>
  <si>
    <t>RAMOS SATURNINO MENDOZA</t>
  </si>
  <si>
    <t>EUGENIO LEONCIO MOYA DURAND</t>
  </si>
  <si>
    <t>PABLO ROSARIO QUISPE</t>
  </si>
  <si>
    <t>AURELIO DE LA CRUZ PEREZ</t>
  </si>
  <si>
    <t>DARIO DIEGO ROSALES ROMERO</t>
  </si>
  <si>
    <t>ROSA CARDENAS ALVARADO</t>
  </si>
  <si>
    <t>JULIA CARDENAS ALVARADO</t>
  </si>
  <si>
    <t>OTILIA RAMIRES LUCIANO</t>
  </si>
  <si>
    <t>DOMINGA CHACARA LOPEZ</t>
  </si>
  <si>
    <t>VALENTIN DURAND VALLADARES</t>
  </si>
  <si>
    <t>JULIO SOLORZANO ESTRADA</t>
  </si>
  <si>
    <t>ROBERTO NIETO HUERTA</t>
  </si>
  <si>
    <t>TEREZA ROMERO BAZAN</t>
  </si>
  <si>
    <t>ADOLFO ROSARIO ROJAS</t>
  </si>
  <si>
    <t>JULIA BARRERA GARCILAZO</t>
  </si>
  <si>
    <t>IGLESIA PEREGRINA</t>
  </si>
  <si>
    <t>MARTHA CRIOLLO GASPAR</t>
  </si>
  <si>
    <t>2B</t>
  </si>
  <si>
    <t>COMEDOR POPULAR CLUB DE MADRES</t>
  </si>
  <si>
    <t>J</t>
  </si>
  <si>
    <t>CAPILLA DEL PUEBLO</t>
  </si>
  <si>
    <t>CENTRO EDUCATIVO 20902</t>
  </si>
  <si>
    <t>HECTOR AGÜERO TRUJILLO</t>
  </si>
  <si>
    <t>VILMA CELESTINO VILLAFANA</t>
  </si>
  <si>
    <t>MARCELO CHINCHAY REGALADO</t>
  </si>
  <si>
    <t>ESPERANZA CHINCHAY COLLAS</t>
  </si>
  <si>
    <t>HAYDEE RIMAC ALBERTO</t>
  </si>
  <si>
    <t>JULIA VICTORIA ROBLES CASTILLO</t>
  </si>
  <si>
    <t>FELICIANA LUISA SANCHEZ RAFAEL</t>
  </si>
  <si>
    <t>SEGUNDO BRONCANO DE PAZ</t>
  </si>
  <si>
    <t>VICTOR BARBOZA AMANTE</t>
  </si>
  <si>
    <t>JOSE YOVERA CHERO</t>
  </si>
  <si>
    <t>JORGE BARBOZA AMANTE</t>
  </si>
  <si>
    <t>ANTONIO ESPINOZA SIFUENTES</t>
  </si>
  <si>
    <t>K</t>
  </si>
  <si>
    <t>ALEJANDRO LUIS JULCA</t>
  </si>
  <si>
    <t>PRUDENCIO VALLADARES TRUJILLO</t>
  </si>
  <si>
    <t>YULY LISBETH TRUJILLO CRUZ</t>
  </si>
  <si>
    <t>EMILIA CRUZ OLORTEGUI</t>
  </si>
  <si>
    <t>VICTOR JOSE ORTEGA DE LA CRUZ</t>
  </si>
  <si>
    <t>NIEVES CUZCO VALLE DE LEON</t>
  </si>
  <si>
    <t>VICTOR TEODORO FLORES DURAND</t>
  </si>
  <si>
    <t>FORTUNATO VARGAS CABELLO</t>
  </si>
  <si>
    <t>MARINO FEDERICO JAIMES VIDAL</t>
  </si>
  <si>
    <t>MARTINA MORALES RIOS</t>
  </si>
  <si>
    <t>RUBEN LUIS GARCILAZO</t>
  </si>
  <si>
    <t>SAMUEL LLAMA LUNA</t>
  </si>
  <si>
    <t>FABIAN MONTALVO JULCA</t>
  </si>
  <si>
    <t>MARCIAL SANCHEZ ARAOZ</t>
  </si>
  <si>
    <t>SOSIMO ROJAS TRUJILLO</t>
  </si>
  <si>
    <t>MATILDE MEZA CASTILLEJO</t>
  </si>
  <si>
    <t>ROBERTO CARLOS QUISPE ROMAN</t>
  </si>
  <si>
    <t>EDGAR SILVA GHIGGO</t>
  </si>
  <si>
    <t>L</t>
  </si>
  <si>
    <t>RAUL OLIVO CORDOVA</t>
  </si>
  <si>
    <t>ELEUTERIO PASTOR LEYVA</t>
  </si>
  <si>
    <t>LUISA ELENA CASPA DIAS</t>
  </si>
  <si>
    <t>ALEJANDRO JULCA COLLANTES</t>
  </si>
  <si>
    <t>DELIA DORIS HUAMANSUPA PEREZ</t>
  </si>
  <si>
    <t>MARGARITA SAAVEDRA TRUJILLO</t>
  </si>
  <si>
    <t>ANA RODRIGUEZ DOMINGUEZ</t>
  </si>
  <si>
    <t>ELOY ALBERTO SIGUEÑAS UGARTE</t>
  </si>
  <si>
    <t>JAIME VILLANUEVA ALEGRIA</t>
  </si>
  <si>
    <t>DONATA SAMARITANO CERNA</t>
  </si>
  <si>
    <t>HUACANCA HUAROMA ROSITA</t>
  </si>
  <si>
    <t>JOSE SOCOLA RUIZ</t>
  </si>
  <si>
    <t>AGUSTINA CALDAS CORZO</t>
  </si>
  <si>
    <t>MARIANELA ELIZABET RIVERA VITATE</t>
  </si>
  <si>
    <t>MAXIMA CARRANZA RODRIGUEZ</t>
  </si>
  <si>
    <t>VICTORIA COCHACHIN CASIO</t>
  </si>
  <si>
    <t>M</t>
  </si>
  <si>
    <t>SEGUNDO SHUMA COMAPA</t>
  </si>
  <si>
    <t>ENMA CRISTINA BLAS QUISPE</t>
  </si>
  <si>
    <t>ROGELIO ROSALES CUYA</t>
  </si>
  <si>
    <t>CIRILA QUIJANO MELGAREJO</t>
  </si>
  <si>
    <t>SEGUNDINA EUTOPIA ESPINOZA LOPEZ</t>
  </si>
  <si>
    <t>SANTOS LUNA FLORES</t>
  </si>
  <si>
    <t>MERCURIO LUNA FLORES</t>
  </si>
  <si>
    <t>SILVA DEMETRIO BLAS QUISPE</t>
  </si>
  <si>
    <t>JUANA MAYO SALES</t>
  </si>
  <si>
    <t>LUCILA SALES ESTRADA</t>
  </si>
  <si>
    <t>ROSA LOPEZ CERNA</t>
  </si>
  <si>
    <t>LEONCIO CASTILLEJO CAPCHA</t>
  </si>
  <si>
    <t>ROSA JUANA MINAYA VILLANUEVA DE VASQUEZ</t>
  </si>
  <si>
    <t>MAGDA MARIA BLAS MORALES</t>
  </si>
  <si>
    <t>FELICIANA REQUEZ PAJUELO</t>
  </si>
  <si>
    <t>HUGO MANUEL TAFUR LOPEZ</t>
  </si>
  <si>
    <t>RAUL BLAS QUISPE</t>
  </si>
  <si>
    <t>ANDRES QUITO RODRIGUEZ</t>
  </si>
  <si>
    <t>JOSE SOLORZANO ESTRADA</t>
  </si>
  <si>
    <t>CARLOS PEREZ RAMIRES</t>
  </si>
  <si>
    <t>IGLESIA EVANGELICA BAUTISTA</t>
  </si>
  <si>
    <t>RAMON ROSALES MENACHO</t>
  </si>
  <si>
    <t>N</t>
  </si>
  <si>
    <t>MATEO ALEJANDRO CACHA SANTOS</t>
  </si>
  <si>
    <t>ANGELICA TOLENTINO SANCHEZ</t>
  </si>
  <si>
    <t>LINDA CARMEN AGURTO SANCHEZ</t>
  </si>
  <si>
    <t>DAVID JUAREZ TOLEDO</t>
  </si>
  <si>
    <t>I.E 20902</t>
  </si>
  <si>
    <t>CARMEN INGARUCA JULCA</t>
  </si>
  <si>
    <t>O</t>
  </si>
  <si>
    <t>MARIA HUERTA MILLA</t>
  </si>
  <si>
    <t>REYNA HUERTA MILLA</t>
  </si>
  <si>
    <t>ALVINA CALVO GIRALDO</t>
  </si>
  <si>
    <t>MANUEL SAAVEDRA TRUJILLO</t>
  </si>
  <si>
    <t>EDGAR ROLLY ROSARIO ESPINOZA</t>
  </si>
  <si>
    <t>HERMOGENES ESCUDERO LOPEZ</t>
  </si>
  <si>
    <t>MARIA RAMIREZ RODRIGUEZ</t>
  </si>
  <si>
    <t>CARMELO RAMIREZ RODRIGUEZ</t>
  </si>
  <si>
    <t>REYNALDO MEDRANO BORDA</t>
  </si>
  <si>
    <t>TERESA BLAS QUISPE</t>
  </si>
  <si>
    <t>EPIFANIO ESCUDERO LOPEZ</t>
  </si>
  <si>
    <t>CATALINA DURAND DOMINGUEZ</t>
  </si>
  <si>
    <t>PEDRO MENDOZA MARQUINA</t>
  </si>
  <si>
    <t>LOIDA MOYA VALVERDE</t>
  </si>
  <si>
    <t>JUAN PINEDO BEDON</t>
  </si>
  <si>
    <t>EDGAR MELGAREJO BEDON</t>
  </si>
  <si>
    <t>APOLONIO DURAND VALLADARES</t>
  </si>
  <si>
    <t>SIMONA GASPAR OLORTEGUI DE MONTALVO</t>
  </si>
  <si>
    <t>JULIA CRUZ SAAVEDRA</t>
  </si>
  <si>
    <t>JAVIER MELGAREJO CASTILLO</t>
  </si>
  <si>
    <t>TERESA LOPEZ SAMARITANO</t>
  </si>
  <si>
    <t>FELICITA ROSALES PABLO</t>
  </si>
  <si>
    <t>MISAEL HERRERA PRINCIPE</t>
  </si>
  <si>
    <t>DANTE RUBEN MEDRANO MALLMA</t>
  </si>
  <si>
    <t>VIVIANA PROLEON CORREA</t>
  </si>
  <si>
    <t>CLARA LORENZA ARQUELIN</t>
  </si>
  <si>
    <t>LOURDES MELCHOR ALBORNOZ</t>
  </si>
  <si>
    <t>P</t>
  </si>
  <si>
    <t>JUDITH VENTURO ROSALES</t>
  </si>
  <si>
    <t>MAXIMO MORAN RIVERA</t>
  </si>
  <si>
    <t>ALFREDO JARA TRUJILLO</t>
  </si>
  <si>
    <t>ALFREDO MONTALVO COSME</t>
  </si>
  <si>
    <t>ANDRES ROMERO MELGAREJO</t>
  </si>
  <si>
    <t>HIPOLITO MELGAREJO MENDOZA</t>
  </si>
  <si>
    <t>EUSEBIO CAURINO PEÑA</t>
  </si>
  <si>
    <t>CIRIA ESCUDERO PROLEON</t>
  </si>
  <si>
    <t>VICTOR SOLORZANO ROSALES</t>
  </si>
  <si>
    <t>BENITA MARGARITA TAHUA OROPEZA</t>
  </si>
  <si>
    <t>JUANA VICTORIA ARMAS HUARCA</t>
  </si>
  <si>
    <t>RUFINA FRANCISCO JIMENEZ</t>
  </si>
  <si>
    <t>MAURICIA C. DURAND VALLADARES</t>
  </si>
  <si>
    <t>CALIXTO BLAS TRUJILLO</t>
  </si>
  <si>
    <t>LEONCIO BLAS QUISPE</t>
  </si>
  <si>
    <t>JULIA ROSALES CULLA</t>
  </si>
  <si>
    <t>11A</t>
  </si>
  <si>
    <t>FLOR VALDIVIA MILLA</t>
  </si>
  <si>
    <t>RAUL BENITO QUISPE BARRERA</t>
  </si>
  <si>
    <t>GILVERTO CLEVER SANCHEZ MEZA</t>
  </si>
  <si>
    <t>11-B</t>
  </si>
  <si>
    <t>RAUL ROMERO MAYO</t>
  </si>
  <si>
    <t>MARCELINA MELENDEZ JULCA</t>
  </si>
  <si>
    <t>ELIO FERNANDEZ QUISPE</t>
  </si>
  <si>
    <t>Q</t>
  </si>
  <si>
    <t>JUAN CABELLO ROMERO</t>
  </si>
  <si>
    <t>CESAR CABELLO ROMERO</t>
  </si>
  <si>
    <t>PABLO ROMERO GARCILAZO</t>
  </si>
  <si>
    <t>CLEMENTE CANTO PATALA</t>
  </si>
  <si>
    <t>DEDICACION GARCILAZO ROMERO</t>
  </si>
  <si>
    <t>MARIA MARTINA PEÑA VEGA</t>
  </si>
  <si>
    <t>VICTOR JUAREZ CORZO</t>
  </si>
  <si>
    <t>JUANA MORALES VEGA</t>
  </si>
  <si>
    <t>TEODORA MEZA GARCILAZO</t>
  </si>
  <si>
    <t>EMILIANO PANTOJA SOLANO</t>
  </si>
  <si>
    <t>BARTOLOME ECHEVARRIA RAO</t>
  </si>
  <si>
    <t>JUDITH MARGOT LUIS PEÑA</t>
  </si>
  <si>
    <t>BEATRIZ ROMERO VALLADARES</t>
  </si>
  <si>
    <t>YONY CELEDONIO CERVANTES</t>
  </si>
  <si>
    <t>ALEJANDRO TRUJILLO DIAZ</t>
  </si>
  <si>
    <t>ROSAURA OROYA SACRE</t>
  </si>
  <si>
    <t>R</t>
  </si>
  <si>
    <t>IDA HUACANCA CASCA</t>
  </si>
  <si>
    <t>JESSICA OLIVO INGARUCA</t>
  </si>
  <si>
    <t>ROSA TOLENTINO SANCHEZ</t>
  </si>
  <si>
    <t>FLORA MARIA CASTILLEJO VENTURO</t>
  </si>
  <si>
    <t>FRANK KELVIN TERAN MASIAS</t>
  </si>
  <si>
    <t>DONATO ENRIQUE RAMIRES</t>
  </si>
  <si>
    <t>WILDER SANTIAGO SANTIAGO</t>
  </si>
  <si>
    <t>S</t>
  </si>
  <si>
    <t>LUIS ROMERO QUISPE</t>
  </si>
  <si>
    <t>VALERIO PORFILIO JAVIER SANTIAGO</t>
  </si>
  <si>
    <t>MIRIAM DIAZ MAMANI</t>
  </si>
  <si>
    <t>VANESSA MILLA CRUZ</t>
  </si>
  <si>
    <t>RUBI MORENO COSME</t>
  </si>
  <si>
    <t>WALTER SOLORZANO MELGAREJO</t>
  </si>
  <si>
    <t>LUCIA MORENO ROSALES</t>
  </si>
  <si>
    <t>MAXIMO FELIPE MORENO ROSALES</t>
  </si>
  <si>
    <t>BERNARDINO GAMARRA JIMENEZ</t>
  </si>
  <si>
    <t>GINA CORREA VILLALOBOS DE ROSAS</t>
  </si>
  <si>
    <t>ANA GARRO ROJAS</t>
  </si>
  <si>
    <t>NANCY ELIDA MORENO TORRES</t>
  </si>
  <si>
    <t>VICTORIA COSME CERNA</t>
  </si>
  <si>
    <t>ANA ISABEL GARRO ROJAS</t>
  </si>
  <si>
    <t>YOLANDA RIMAC CULLA</t>
  </si>
  <si>
    <t>T</t>
  </si>
  <si>
    <t>JUVENAL MENDOZA JULCA</t>
  </si>
  <si>
    <t>MERCEDES DE LA CRUZ DURAN</t>
  </si>
  <si>
    <t>FREDY JIMENEZ MONTALVO</t>
  </si>
  <si>
    <t>JOSE PALMADERA MILLA</t>
  </si>
  <si>
    <t>NELY VALLADARES DOMINGUEZ</t>
  </si>
  <si>
    <t>JACINTA AMEZ AGUIRRE</t>
  </si>
  <si>
    <t>ROBERTO PALMADERA MILLA</t>
  </si>
  <si>
    <t>MIGUEL MELENDEZ JULCA</t>
  </si>
  <si>
    <t>MIRO ORLANDO CERNA MELGAREJO</t>
  </si>
  <si>
    <t>RIVET VILLANUEVA ALEGRIA</t>
  </si>
  <si>
    <t>LUISA AURORA SAMARITANO VEGA</t>
  </si>
  <si>
    <t>PEDRO CANDACHO HUARAC</t>
  </si>
  <si>
    <t>ZUNILDA CANDACHO HUARAC</t>
  </si>
  <si>
    <t>NORMA JARA ESPINOZA</t>
  </si>
  <si>
    <t>MERCEDES FRANCISCA VEGA SALES</t>
  </si>
  <si>
    <t>MIGUEL ANGEL ROMERO VALLADARES</t>
  </si>
  <si>
    <t>MARIA JULCA RIOS</t>
  </si>
  <si>
    <t>HERMELINDA CHAVEZ ESPINOZA</t>
  </si>
  <si>
    <t>SAMUEL SAMARITANO ROMERO</t>
  </si>
  <si>
    <t>JOSE ZAPATA FLORES</t>
  </si>
  <si>
    <t>U</t>
  </si>
  <si>
    <t>ALEXANDRA RIMAC CHINCHAY</t>
  </si>
  <si>
    <t>MARCELINA GOMEZ BONIFACIO</t>
  </si>
  <si>
    <t>BENILDA PALACIOS RODRIGUEZ</t>
  </si>
  <si>
    <t>MILAGROS MEDRANO CALVO</t>
  </si>
  <si>
    <t>VIOLETA CAURINO CABELLO</t>
  </si>
  <si>
    <t>V</t>
  </si>
  <si>
    <t>MIRIAM SIGUEÑAS SAENZ</t>
  </si>
  <si>
    <t>LEONARDO HUAMANI SOTELO</t>
  </si>
  <si>
    <t>YONI SOLORZANO BLAS</t>
  </si>
  <si>
    <t>JANET VILLANUEVA ALEGRIA</t>
  </si>
  <si>
    <t>IGLESIA MOV. MISIONERO MUNDIAL</t>
  </si>
  <si>
    <t>RUMALDA MORENO ROSALES</t>
  </si>
  <si>
    <t>SONIA ARQUINO MELENDEZ</t>
  </si>
  <si>
    <t>DAVID CASTILLO MORENO</t>
  </si>
  <si>
    <t>CARMEN MELCHOR ALBORNOZ</t>
  </si>
  <si>
    <t>NORMA VEGA SALES</t>
  </si>
  <si>
    <t>MARISOL BLAS BARRERA</t>
  </si>
  <si>
    <t>FRANCISCA CLARA HUAYTA FLORENTINO</t>
  </si>
  <si>
    <t>CLEVER LOPEZ TRUJILLO</t>
  </si>
  <si>
    <t>JANET VASQUEZ MINAYA</t>
  </si>
  <si>
    <t>SONIA MASIAS CUSIHUAMAN</t>
  </si>
  <si>
    <t>NELLY MORENO LICITO</t>
  </si>
  <si>
    <t>W</t>
  </si>
  <si>
    <t>YESICA ESPINOZA FERNANDEZ</t>
  </si>
  <si>
    <t>JULIO CHAVARRIA GARCIA</t>
  </si>
  <si>
    <t>VICKI MASIAS CUSIHUAMAN</t>
  </si>
  <si>
    <t>RENATO ALBORNOS SIGUEÑAS</t>
  </si>
  <si>
    <t>LUZ MERCEDES VARGAS CAURINO</t>
  </si>
  <si>
    <t>YASMINA JAIMES TRUJILLO</t>
  </si>
  <si>
    <t>AREA VERDE DEL PUEBLO</t>
  </si>
  <si>
    <t>JOSE LUIS VARGAS CAURINO</t>
  </si>
  <si>
    <t>LOURDES SOCOLA ADANAQUE</t>
  </si>
  <si>
    <t>JULIAN PABLO ROCA VALENCIA</t>
  </si>
  <si>
    <t>ORTENCIA FLAVIA CABRACANCHA CARRERA</t>
  </si>
  <si>
    <t>CRISTINA PASTOR SALES DE MORALES</t>
  </si>
  <si>
    <t>DEYSI PASTOR SALES</t>
  </si>
  <si>
    <t>JENY JAIMES TRUJILLO</t>
  </si>
  <si>
    <t>RUDI JORDANO ROCA SEBASTIAN</t>
  </si>
  <si>
    <t>MARIA PASTOR SALES DE CARRASCO</t>
  </si>
  <si>
    <t>CARLOS JARA GOMEZ</t>
  </si>
  <si>
    <t>X</t>
  </si>
  <si>
    <t>LUCINDA EMMA BLAS</t>
  </si>
  <si>
    <t>ADRIAN MARCIAL ANTONIO MURGA</t>
  </si>
  <si>
    <t>CARLOS CASHPA CORAQUILLO</t>
  </si>
  <si>
    <t>OLINDA LOPEZ VERDE</t>
  </si>
  <si>
    <t>31</t>
  </si>
  <si>
    <t>TITO OSORIO MELGAREJO</t>
  </si>
  <si>
    <t>BERTHA ELVA GASPAR PEÑA</t>
  </si>
  <si>
    <t>ELVIRA MINAYA LOZANO</t>
  </si>
  <si>
    <t>ROSA ESPINOZA BERNABE DE HEREDIA</t>
  </si>
  <si>
    <t>MARIA JIMENEZ ROCA</t>
  </si>
  <si>
    <t>CELSO VICTOR AGÜERO VALLADARES</t>
  </si>
  <si>
    <t>MAGNA ABREGO ISIDRO</t>
  </si>
  <si>
    <t>FELIPE JESUS ORTIZ APONTE</t>
  </si>
  <si>
    <t>RUDDY BLAS MELENDEZ</t>
  </si>
  <si>
    <t>LUZ OSORIO MELGAREJO</t>
  </si>
  <si>
    <t>NENA MELENDEZ JULCA</t>
  </si>
  <si>
    <t>ALEJANDRO MORENO ROSALES</t>
  </si>
  <si>
    <t>GABBY ALICIA HEREDIA ESPINOZA</t>
  </si>
  <si>
    <t>YOLANDA MERCEDES LOZANO MINAYA</t>
  </si>
  <si>
    <t>IVAN FILOMENO CHAVEZ DAMAZO</t>
  </si>
  <si>
    <t>CARLOS CIRILO ROMERO</t>
  </si>
  <si>
    <t>Y</t>
  </si>
  <si>
    <t>EDY SANCHEZ RODRIGUEZ</t>
  </si>
  <si>
    <t>JUDITH MONTAÑEZ ROJAS</t>
  </si>
  <si>
    <t>BELISARIO MORALES HERRERA</t>
  </si>
  <si>
    <t>HAYDEE CERNA NEYRA</t>
  </si>
  <si>
    <t>FELIX LUNA LOPEZ</t>
  </si>
  <si>
    <t>ISENIA YESICA CASTILLO BRONCANO</t>
  </si>
  <si>
    <t>Z</t>
  </si>
  <si>
    <t>SARA TARAZONA MIGUEL</t>
  </si>
  <si>
    <t>MARLENY JENNY POLO CIRILO</t>
  </si>
  <si>
    <t>ALEJANDRO GRADOS APELO</t>
  </si>
  <si>
    <t>ROSA DURAND SALES</t>
  </si>
  <si>
    <t>ALFREDO GRADOS APELO</t>
  </si>
  <si>
    <t>OSCAR ROGER FLORES TRUJILLO</t>
  </si>
  <si>
    <t>JAVIER ESPINOZA FERNANDEZ</t>
  </si>
  <si>
    <t>MARTHA BACILIO RAMOS</t>
  </si>
  <si>
    <t>MARIA BACILIO RAMOS</t>
  </si>
  <si>
    <t>WILSON PATRICIO HUAYTA</t>
  </si>
  <si>
    <t>DIEGO MAYO SAMARITANO</t>
  </si>
  <si>
    <t>ELENA JUANA CASTILLEJO CAPCHA</t>
  </si>
  <si>
    <t>MILAGROS SIGUEÑAS SAENZ</t>
  </si>
  <si>
    <t>CHARLE RIOS FLORES POLO</t>
  </si>
  <si>
    <t>NOEMI POLO CIRILO</t>
  </si>
  <si>
    <t>VASQUEZ HHURTADO ORLANDO</t>
  </si>
  <si>
    <t>ESTHEFANY MAGALY PONTE SANCHEZ</t>
  </si>
  <si>
    <t>HERMENIJILDA CONDOR ARTICA</t>
  </si>
  <si>
    <t>USTED NO ESTA AL 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</si>
</sst>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5">
    <xf numFmtId="0" fontId="0" fillId="0" borderId="0" xfId="0" applyBorder="1"/>
    <xf numFmtId="0" fontId="1" fillId="0" borderId="0" xfId="0" applyFont="1" applyBorder="1"/>
    <xf numFmtId="164" fontId="3" fillId="0" borderId="0" xfId="0" applyNumberFormat="1" applyFont="1" applyBorder="1"/>
    <xf numFmtId="0" fontId="2" fillId="0" borderId="0" xfId="0" applyFont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996"/>
  <sheetViews>
    <sheetView tabSelected="1" topLeftCell="E1" zoomScale="80" zoomScaleNormal="80" workbookViewId="0">
      <selection activeCell="L590" sqref="L590"/>
    </sheetView>
  </sheetViews>
  <sheetFormatPr baseColWidth="10" defaultColWidth="14.453125" defaultRowHeight="15" customHeight="1" x14ac:dyDescent="0.35"/>
  <cols>
    <col min="1" max="1" width="19.81640625" style="4" customWidth="1"/>
    <col min="2" max="2" width="23.08984375" style="4" customWidth="1"/>
    <col min="3" max="3" width="22.7265625" style="4" customWidth="1"/>
    <col min="4" max="4" width="17.7265625" style="4" customWidth="1"/>
    <col min="5" max="5" width="18.26953125" style="4" customWidth="1"/>
    <col min="6" max="6" width="16.08984375" style="4" customWidth="1"/>
    <col min="7" max="7" width="43.81640625" style="4" customWidth="1"/>
    <col min="8" max="8" width="3.7265625" style="4" customWidth="1"/>
    <col min="9" max="9" width="4.26953125" style="4" customWidth="1"/>
    <col min="10" max="10" width="17.7265625" style="4" customWidth="1"/>
    <col min="11" max="12" width="16" style="4" customWidth="1"/>
    <col min="13" max="13" width="4" style="4" customWidth="1"/>
    <col min="14" max="14" width="14.54296875" style="4" customWidth="1"/>
    <col min="15" max="15" width="15.26953125" style="4" customWidth="1"/>
    <col min="16" max="16" width="14.08984375" style="4" customWidth="1"/>
    <col min="17" max="17" width="17.81640625" style="4" customWidth="1"/>
    <col min="18" max="18" width="9.453125" style="4" customWidth="1"/>
    <col min="19" max="19" width="6.08984375" style="4" customWidth="1"/>
    <col min="20" max="20" width="9.453125" style="4" customWidth="1"/>
    <col min="21" max="21" width="20.81640625" style="4" customWidth="1"/>
    <col min="22" max="22" width="74.453125" style="4" customWidth="1"/>
    <col min="23" max="23" width="13.6328125" style="4" customWidth="1"/>
    <col min="24" max="24" width="13.81640625" style="4" customWidth="1"/>
    <col min="25" max="25" width="16.7265625" style="4" customWidth="1"/>
    <col min="26" max="28" width="10.7265625" style="4" customWidth="1"/>
  </cols>
  <sheetData>
    <row r="1" spans="1:25" ht="14.5" customHeight="1" x14ac:dyDescent="0.35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/>
      <c r="M1" s="3" t="s">
        <v>11</v>
      </c>
      <c r="N1" s="3"/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</row>
    <row r="2" spans="1:25" ht="14.5" hidden="1" customHeight="1" x14ac:dyDescent="0.35">
      <c r="A2" s="3">
        <v>16896</v>
      </c>
      <c r="B2" s="3" t="s">
        <v>23</v>
      </c>
      <c r="C2" s="2">
        <v>46179</v>
      </c>
      <c r="D2" s="2">
        <v>46174</v>
      </c>
      <c r="E2" s="2">
        <v>46122</v>
      </c>
      <c r="F2" s="2">
        <v>46152</v>
      </c>
      <c r="G2" t="s">
        <v>24</v>
      </c>
      <c r="H2" t="s">
        <v>25</v>
      </c>
      <c r="I2" t="s">
        <v>26</v>
      </c>
      <c r="J2">
        <v>19</v>
      </c>
      <c r="K2">
        <v>26</v>
      </c>
      <c r="L2">
        <f t="shared" ref="L2:L65" si="0">K2-J2</f>
        <v>7</v>
      </c>
      <c r="M2">
        <v>7</v>
      </c>
      <c r="N2">
        <f>IF(L2&lt;&gt;M2,1,0)</f>
        <v>0</v>
      </c>
      <c r="O2">
        <v>7</v>
      </c>
      <c r="S2">
        <v>3</v>
      </c>
      <c r="T2" s="3">
        <f t="shared" ref="T2:T65" si="1">SUM(O2:S2)</f>
        <v>10</v>
      </c>
      <c r="U2" s="3" t="str">
        <f t="shared" ref="U2:U65" si="2">IF(P2&lt;8,"USTED ESTÁ AL DÍA","USTED NO ESTÁ AL DÍA")</f>
        <v>USTED ESTÁ AL DÍA</v>
      </c>
      <c r="V2" s="3" t="s">
        <v>27</v>
      </c>
      <c r="X2">
        <v>50</v>
      </c>
      <c r="Y2">
        <f t="shared" ref="Y2:Y65" si="3">T2+W2+X2</f>
        <v>60</v>
      </c>
    </row>
    <row r="3" spans="1:25" ht="14.5" hidden="1" customHeight="1" x14ac:dyDescent="0.35">
      <c r="A3" s="3">
        <v>16897</v>
      </c>
      <c r="B3" s="3" t="s">
        <v>23</v>
      </c>
      <c r="C3" s="2">
        <v>46179</v>
      </c>
      <c r="D3" s="2">
        <v>46174</v>
      </c>
      <c r="E3" s="2">
        <v>46122</v>
      </c>
      <c r="F3" s="2">
        <v>46152</v>
      </c>
      <c r="G3" t="s">
        <v>28</v>
      </c>
      <c r="H3" t="s">
        <v>25</v>
      </c>
      <c r="I3" t="s">
        <v>29</v>
      </c>
      <c r="J3">
        <v>2723</v>
      </c>
      <c r="K3">
        <v>2741</v>
      </c>
      <c r="L3">
        <f t="shared" si="0"/>
        <v>18</v>
      </c>
      <c r="M3">
        <v>18</v>
      </c>
      <c r="N3">
        <f>IF(L3&lt;&gt;M3,1,0)</f>
        <v>0</v>
      </c>
      <c r="O3">
        <v>18</v>
      </c>
      <c r="P3">
        <v>23</v>
      </c>
      <c r="S3">
        <v>3</v>
      </c>
      <c r="T3" s="3">
        <f t="shared" si="1"/>
        <v>44</v>
      </c>
      <c r="U3" s="3" t="str">
        <f t="shared" si="2"/>
        <v>USTED NO ESTÁ AL DÍA</v>
      </c>
      <c r="V3" s="3" t="s">
        <v>27</v>
      </c>
      <c r="W3">
        <v>50</v>
      </c>
      <c r="Y3">
        <f t="shared" si="3"/>
        <v>94</v>
      </c>
    </row>
    <row r="4" spans="1:25" ht="14.5" hidden="1" customHeight="1" x14ac:dyDescent="0.35">
      <c r="A4" s="3">
        <v>16898</v>
      </c>
      <c r="B4" s="3" t="s">
        <v>23</v>
      </c>
      <c r="C4" s="2">
        <v>46179</v>
      </c>
      <c r="D4" s="2">
        <v>46174</v>
      </c>
      <c r="E4" s="2">
        <v>46122</v>
      </c>
      <c r="F4" s="2">
        <v>46152</v>
      </c>
      <c r="G4" t="s">
        <v>30</v>
      </c>
      <c r="H4" t="s">
        <v>25</v>
      </c>
      <c r="I4" t="s">
        <v>31</v>
      </c>
      <c r="J4">
        <v>22</v>
      </c>
      <c r="K4">
        <v>22</v>
      </c>
      <c r="L4">
        <f t="shared" si="0"/>
        <v>0</v>
      </c>
      <c r="M4">
        <v>5</v>
      </c>
      <c r="O4">
        <v>5</v>
      </c>
      <c r="S4">
        <v>3</v>
      </c>
      <c r="T4" s="3">
        <f t="shared" si="1"/>
        <v>8</v>
      </c>
      <c r="U4" s="3" t="str">
        <f t="shared" si="2"/>
        <v>USTED ESTÁ AL DÍA</v>
      </c>
      <c r="V4" s="3" t="s">
        <v>27</v>
      </c>
      <c r="Y4">
        <f t="shared" si="3"/>
        <v>8</v>
      </c>
    </row>
    <row r="5" spans="1:25" ht="14.5" hidden="1" customHeight="1" x14ac:dyDescent="0.35">
      <c r="A5" s="3">
        <v>16899</v>
      </c>
      <c r="B5" s="3" t="s">
        <v>23</v>
      </c>
      <c r="C5" s="2">
        <v>46179</v>
      </c>
      <c r="D5" s="2">
        <v>46174</v>
      </c>
      <c r="E5" s="2">
        <v>46122</v>
      </c>
      <c r="F5" s="2">
        <v>46152</v>
      </c>
      <c r="G5" t="s">
        <v>32</v>
      </c>
      <c r="H5" t="s">
        <v>25</v>
      </c>
      <c r="I5" t="s">
        <v>33</v>
      </c>
      <c r="J5">
        <v>2</v>
      </c>
      <c r="K5">
        <v>2</v>
      </c>
      <c r="L5">
        <f t="shared" si="0"/>
        <v>0</v>
      </c>
      <c r="M5">
        <v>5</v>
      </c>
      <c r="O5">
        <v>5</v>
      </c>
      <c r="P5">
        <v>15</v>
      </c>
      <c r="R5">
        <v>25</v>
      </c>
      <c r="S5">
        <v>3</v>
      </c>
      <c r="T5" s="3">
        <f t="shared" si="1"/>
        <v>48</v>
      </c>
      <c r="U5" s="3" t="str">
        <f t="shared" si="2"/>
        <v>USTED NO ESTÁ AL DÍA</v>
      </c>
      <c r="V5" s="3" t="s">
        <v>27</v>
      </c>
      <c r="W5">
        <v>30</v>
      </c>
      <c r="X5">
        <v>75</v>
      </c>
      <c r="Y5">
        <f t="shared" si="3"/>
        <v>153</v>
      </c>
    </row>
    <row r="6" spans="1:25" ht="14.5" hidden="1" customHeight="1" x14ac:dyDescent="0.35">
      <c r="A6" s="3">
        <v>16900</v>
      </c>
      <c r="B6" s="3" t="s">
        <v>23</v>
      </c>
      <c r="C6" s="2">
        <v>46179</v>
      </c>
      <c r="D6" s="2">
        <v>46174</v>
      </c>
      <c r="E6" s="2">
        <v>46122</v>
      </c>
      <c r="F6" s="2">
        <v>46152</v>
      </c>
      <c r="G6" t="s">
        <v>34</v>
      </c>
      <c r="H6" t="s">
        <v>25</v>
      </c>
      <c r="I6" t="s">
        <v>35</v>
      </c>
      <c r="J6">
        <v>32</v>
      </c>
      <c r="K6">
        <v>45</v>
      </c>
      <c r="L6">
        <f t="shared" si="0"/>
        <v>13</v>
      </c>
      <c r="M6">
        <v>13</v>
      </c>
      <c r="N6">
        <f t="shared" ref="N6:N11" si="4">IF(L6&lt;&gt;M6,1,0)</f>
        <v>0</v>
      </c>
      <c r="O6">
        <v>13</v>
      </c>
      <c r="R6">
        <v>25</v>
      </c>
      <c r="S6">
        <v>3</v>
      </c>
      <c r="T6" s="3">
        <f t="shared" si="1"/>
        <v>41</v>
      </c>
      <c r="U6" s="3" t="str">
        <f t="shared" si="2"/>
        <v>USTED ESTÁ AL DÍA</v>
      </c>
      <c r="V6" s="3" t="s">
        <v>27</v>
      </c>
      <c r="W6">
        <v>30</v>
      </c>
      <c r="Y6">
        <f t="shared" si="3"/>
        <v>71</v>
      </c>
    </row>
    <row r="7" spans="1:25" ht="14.5" hidden="1" customHeight="1" x14ac:dyDescent="0.35">
      <c r="A7" s="3">
        <v>16901</v>
      </c>
      <c r="B7" s="3" t="s">
        <v>23</v>
      </c>
      <c r="C7" s="2">
        <v>46179</v>
      </c>
      <c r="D7" s="2">
        <v>46174</v>
      </c>
      <c r="E7" s="2">
        <v>46122</v>
      </c>
      <c r="F7" s="2">
        <v>46152</v>
      </c>
      <c r="G7" t="s">
        <v>36</v>
      </c>
      <c r="H7" t="s">
        <v>25</v>
      </c>
      <c r="I7" t="s">
        <v>37</v>
      </c>
      <c r="J7">
        <v>52</v>
      </c>
      <c r="K7">
        <v>80</v>
      </c>
      <c r="L7">
        <f t="shared" si="0"/>
        <v>28</v>
      </c>
      <c r="M7">
        <v>28</v>
      </c>
      <c r="N7">
        <f t="shared" si="4"/>
        <v>0</v>
      </c>
      <c r="O7">
        <v>28</v>
      </c>
      <c r="R7">
        <v>25</v>
      </c>
      <c r="S7">
        <v>3</v>
      </c>
      <c r="T7" s="3">
        <f t="shared" si="1"/>
        <v>56</v>
      </c>
      <c r="U7" s="3" t="str">
        <f t="shared" si="2"/>
        <v>USTED ESTÁ AL DÍA</v>
      </c>
      <c r="V7" s="3" t="s">
        <v>27</v>
      </c>
      <c r="X7">
        <v>50</v>
      </c>
      <c r="Y7">
        <f t="shared" si="3"/>
        <v>106</v>
      </c>
    </row>
    <row r="8" spans="1:25" ht="14.5" hidden="1" customHeight="1" x14ac:dyDescent="0.35">
      <c r="A8" s="3">
        <v>16902</v>
      </c>
      <c r="B8" s="3" t="s">
        <v>23</v>
      </c>
      <c r="C8" s="2">
        <v>46179</v>
      </c>
      <c r="D8" s="2">
        <v>46174</v>
      </c>
      <c r="E8" s="2">
        <v>46122</v>
      </c>
      <c r="F8" s="2">
        <v>46152</v>
      </c>
      <c r="G8" t="s">
        <v>38</v>
      </c>
      <c r="H8" t="s">
        <v>25</v>
      </c>
      <c r="I8" t="s">
        <v>39</v>
      </c>
      <c r="J8">
        <v>1777</v>
      </c>
      <c r="K8">
        <v>1788</v>
      </c>
      <c r="L8">
        <f t="shared" si="0"/>
        <v>11</v>
      </c>
      <c r="M8">
        <v>11</v>
      </c>
      <c r="N8">
        <f t="shared" si="4"/>
        <v>0</v>
      </c>
      <c r="O8">
        <v>11</v>
      </c>
      <c r="S8">
        <v>3</v>
      </c>
      <c r="T8" s="3">
        <f t="shared" si="1"/>
        <v>14</v>
      </c>
      <c r="U8" s="3" t="str">
        <f t="shared" si="2"/>
        <v>USTED ESTÁ AL DÍA</v>
      </c>
      <c r="V8" s="3" t="s">
        <v>27</v>
      </c>
      <c r="W8">
        <v>30</v>
      </c>
      <c r="Y8">
        <f t="shared" si="3"/>
        <v>44</v>
      </c>
    </row>
    <row r="9" spans="1:25" ht="14.5" hidden="1" customHeight="1" x14ac:dyDescent="0.35">
      <c r="A9" s="3">
        <v>16903</v>
      </c>
      <c r="B9" s="3" t="s">
        <v>23</v>
      </c>
      <c r="C9" s="2">
        <v>46179</v>
      </c>
      <c r="D9" s="2">
        <v>46174</v>
      </c>
      <c r="E9" s="2">
        <v>46122</v>
      </c>
      <c r="F9" s="2">
        <v>46152</v>
      </c>
      <c r="G9" t="s">
        <v>40</v>
      </c>
      <c r="H9" t="s">
        <v>25</v>
      </c>
      <c r="I9" t="s">
        <v>41</v>
      </c>
      <c r="J9">
        <v>49</v>
      </c>
      <c r="K9">
        <v>72</v>
      </c>
      <c r="L9">
        <f t="shared" si="0"/>
        <v>23</v>
      </c>
      <c r="M9">
        <v>23</v>
      </c>
      <c r="N9">
        <f t="shared" si="4"/>
        <v>0</v>
      </c>
      <c r="O9">
        <v>23</v>
      </c>
      <c r="P9">
        <v>26</v>
      </c>
      <c r="R9">
        <v>25</v>
      </c>
      <c r="S9">
        <v>3</v>
      </c>
      <c r="T9" s="3">
        <f t="shared" si="1"/>
        <v>77</v>
      </c>
      <c r="U9" s="3" t="str">
        <f t="shared" si="2"/>
        <v>USTED NO ESTÁ AL DÍA</v>
      </c>
      <c r="V9" s="3" t="s">
        <v>27</v>
      </c>
      <c r="Y9">
        <f t="shared" si="3"/>
        <v>77</v>
      </c>
    </row>
    <row r="10" spans="1:25" ht="14.5" hidden="1" customHeight="1" x14ac:dyDescent="0.35">
      <c r="A10" s="3">
        <v>16904</v>
      </c>
      <c r="B10" s="3" t="s">
        <v>23</v>
      </c>
      <c r="C10" s="2">
        <v>46179</v>
      </c>
      <c r="D10" s="2">
        <v>46174</v>
      </c>
      <c r="E10" s="2">
        <v>46122</v>
      </c>
      <c r="F10" s="2">
        <v>46152</v>
      </c>
      <c r="G10" t="s">
        <v>42</v>
      </c>
      <c r="H10" t="s">
        <v>25</v>
      </c>
      <c r="I10" t="s">
        <v>43</v>
      </c>
      <c r="J10">
        <v>2288</v>
      </c>
      <c r="K10">
        <v>2340</v>
      </c>
      <c r="L10">
        <f t="shared" si="0"/>
        <v>52</v>
      </c>
      <c r="M10">
        <v>52</v>
      </c>
      <c r="N10">
        <f t="shared" si="4"/>
        <v>0</v>
      </c>
      <c r="O10">
        <v>52</v>
      </c>
      <c r="S10">
        <v>3</v>
      </c>
      <c r="T10" s="3">
        <f t="shared" si="1"/>
        <v>55</v>
      </c>
      <c r="U10" s="3" t="str">
        <f t="shared" si="2"/>
        <v>USTED ESTÁ AL DÍA</v>
      </c>
      <c r="V10" s="3" t="s">
        <v>27</v>
      </c>
      <c r="W10">
        <v>50</v>
      </c>
      <c r="X10">
        <v>50</v>
      </c>
      <c r="Y10">
        <f t="shared" si="3"/>
        <v>155</v>
      </c>
    </row>
    <row r="11" spans="1:25" ht="14.5" hidden="1" customHeight="1" x14ac:dyDescent="0.35">
      <c r="A11" s="3">
        <v>16905</v>
      </c>
      <c r="B11" s="3" t="s">
        <v>23</v>
      </c>
      <c r="C11" s="2">
        <v>46179</v>
      </c>
      <c r="D11" s="2">
        <v>46174</v>
      </c>
      <c r="E11" s="2">
        <v>46122</v>
      </c>
      <c r="F11" s="2">
        <v>46152</v>
      </c>
      <c r="G11" t="s">
        <v>44</v>
      </c>
      <c r="H11" t="s">
        <v>25</v>
      </c>
      <c r="I11" t="s">
        <v>45</v>
      </c>
      <c r="J11">
        <v>683</v>
      </c>
      <c r="K11">
        <v>690</v>
      </c>
      <c r="L11">
        <f t="shared" si="0"/>
        <v>7</v>
      </c>
      <c r="M11">
        <v>7</v>
      </c>
      <c r="N11">
        <f t="shared" si="4"/>
        <v>0</v>
      </c>
      <c r="O11">
        <v>7</v>
      </c>
      <c r="S11">
        <v>3</v>
      </c>
      <c r="T11" s="3">
        <f t="shared" si="1"/>
        <v>10</v>
      </c>
      <c r="U11" s="3" t="str">
        <f t="shared" si="2"/>
        <v>USTED ESTÁ AL DÍA</v>
      </c>
      <c r="V11" s="3" t="s">
        <v>27</v>
      </c>
      <c r="Y11">
        <f t="shared" si="3"/>
        <v>10</v>
      </c>
    </row>
    <row r="12" spans="1:25" ht="14.5" hidden="1" customHeight="1" x14ac:dyDescent="0.35">
      <c r="A12" s="3">
        <v>16906</v>
      </c>
      <c r="B12" s="3" t="s">
        <v>23</v>
      </c>
      <c r="C12" s="2">
        <v>46179</v>
      </c>
      <c r="D12" s="2">
        <v>46174</v>
      </c>
      <c r="E12" s="2">
        <v>46122</v>
      </c>
      <c r="F12" s="2">
        <v>46152</v>
      </c>
      <c r="G12" t="s">
        <v>46</v>
      </c>
      <c r="H12" t="s">
        <v>25</v>
      </c>
      <c r="I12" t="s">
        <v>47</v>
      </c>
      <c r="J12">
        <v>365</v>
      </c>
      <c r="K12">
        <v>365</v>
      </c>
      <c r="L12">
        <f t="shared" si="0"/>
        <v>0</v>
      </c>
      <c r="M12">
        <v>5</v>
      </c>
      <c r="O12">
        <v>5</v>
      </c>
      <c r="P12">
        <v>8</v>
      </c>
      <c r="Q12">
        <v>40</v>
      </c>
      <c r="S12">
        <v>3</v>
      </c>
      <c r="T12" s="3">
        <f t="shared" si="1"/>
        <v>56</v>
      </c>
      <c r="U12" s="3" t="str">
        <f t="shared" si="2"/>
        <v>USTED NO ESTÁ AL DÍA</v>
      </c>
      <c r="V12" s="3" t="s">
        <v>27</v>
      </c>
      <c r="X12">
        <v>50</v>
      </c>
      <c r="Y12">
        <f t="shared" si="3"/>
        <v>106</v>
      </c>
    </row>
    <row r="13" spans="1:25" ht="14.5" hidden="1" customHeight="1" x14ac:dyDescent="0.35">
      <c r="A13" s="3">
        <v>16907</v>
      </c>
      <c r="B13" s="3" t="s">
        <v>23</v>
      </c>
      <c r="C13" s="2">
        <v>46179</v>
      </c>
      <c r="D13" s="2">
        <v>46174</v>
      </c>
      <c r="E13" s="2">
        <v>46122</v>
      </c>
      <c r="F13" s="2">
        <v>46152</v>
      </c>
      <c r="G13" t="s">
        <v>48</v>
      </c>
      <c r="H13" t="s">
        <v>25</v>
      </c>
      <c r="I13" t="s">
        <v>49</v>
      </c>
      <c r="J13">
        <v>198</v>
      </c>
      <c r="K13">
        <v>216</v>
      </c>
      <c r="L13">
        <f t="shared" si="0"/>
        <v>18</v>
      </c>
      <c r="M13">
        <v>18</v>
      </c>
      <c r="N13">
        <f>IF(L13&lt;&gt;M13,1,0)</f>
        <v>0</v>
      </c>
      <c r="O13">
        <v>18</v>
      </c>
      <c r="S13">
        <v>3</v>
      </c>
      <c r="T13" s="3">
        <f t="shared" si="1"/>
        <v>21</v>
      </c>
      <c r="U13" s="3" t="str">
        <f t="shared" si="2"/>
        <v>USTED ESTÁ AL DÍA</v>
      </c>
      <c r="V13" s="3" t="s">
        <v>27</v>
      </c>
      <c r="Y13">
        <f t="shared" si="3"/>
        <v>21</v>
      </c>
    </row>
    <row r="14" spans="1:25" ht="14.5" hidden="1" customHeight="1" x14ac:dyDescent="0.35">
      <c r="A14" s="3">
        <v>16908</v>
      </c>
      <c r="B14" s="3" t="s">
        <v>23</v>
      </c>
      <c r="C14" s="2">
        <v>46179</v>
      </c>
      <c r="D14" s="2">
        <v>46174</v>
      </c>
      <c r="E14" s="2">
        <v>46122</v>
      </c>
      <c r="F14" s="2">
        <v>46152</v>
      </c>
      <c r="G14" t="s">
        <v>50</v>
      </c>
      <c r="H14" t="s">
        <v>25</v>
      </c>
      <c r="I14" t="s">
        <v>51</v>
      </c>
      <c r="L14">
        <f t="shared" si="0"/>
        <v>0</v>
      </c>
      <c r="S14">
        <v>0</v>
      </c>
      <c r="T14" s="3">
        <f t="shared" si="1"/>
        <v>0</v>
      </c>
      <c r="U14" s="3" t="str">
        <f t="shared" si="2"/>
        <v>USTED ESTÁ AL DÍA</v>
      </c>
      <c r="V14" s="3" t="s">
        <v>27</v>
      </c>
      <c r="W14">
        <v>50</v>
      </c>
      <c r="X14">
        <v>75</v>
      </c>
      <c r="Y14">
        <f t="shared" si="3"/>
        <v>125</v>
      </c>
    </row>
    <row r="15" spans="1:25" ht="14.5" hidden="1" customHeight="1" x14ac:dyDescent="0.35">
      <c r="A15" s="3">
        <v>16909</v>
      </c>
      <c r="B15" s="3" t="s">
        <v>23</v>
      </c>
      <c r="C15" s="2">
        <v>46179</v>
      </c>
      <c r="D15" s="2">
        <v>46174</v>
      </c>
      <c r="E15" s="2">
        <v>46122</v>
      </c>
      <c r="F15" s="2">
        <v>46152</v>
      </c>
      <c r="G15" t="s">
        <v>52</v>
      </c>
      <c r="H15" t="s">
        <v>25</v>
      </c>
      <c r="I15" t="s">
        <v>53</v>
      </c>
      <c r="L15">
        <f t="shared" si="0"/>
        <v>0</v>
      </c>
      <c r="S15">
        <v>0</v>
      </c>
      <c r="T15" s="3">
        <f t="shared" si="1"/>
        <v>0</v>
      </c>
      <c r="U15" s="3" t="str">
        <f t="shared" si="2"/>
        <v>USTED ESTÁ AL DÍA</v>
      </c>
      <c r="V15" s="3" t="s">
        <v>27</v>
      </c>
      <c r="W15">
        <v>30</v>
      </c>
      <c r="Y15">
        <f t="shared" si="3"/>
        <v>30</v>
      </c>
    </row>
    <row r="16" spans="1:25" ht="14.5" hidden="1" customHeight="1" x14ac:dyDescent="0.35">
      <c r="A16" s="3">
        <v>16910</v>
      </c>
      <c r="B16" s="3" t="s">
        <v>23</v>
      </c>
      <c r="C16" s="2">
        <v>46179</v>
      </c>
      <c r="D16" s="2">
        <v>46174</v>
      </c>
      <c r="E16" s="2">
        <v>46122</v>
      </c>
      <c r="F16" s="2">
        <v>46152</v>
      </c>
      <c r="G16" t="s">
        <v>54</v>
      </c>
      <c r="H16" t="s">
        <v>55</v>
      </c>
      <c r="I16" t="s">
        <v>26</v>
      </c>
      <c r="J16">
        <v>517</v>
      </c>
      <c r="K16">
        <v>519</v>
      </c>
      <c r="L16">
        <f t="shared" si="0"/>
        <v>2</v>
      </c>
      <c r="M16">
        <v>5</v>
      </c>
      <c r="O16">
        <v>5</v>
      </c>
      <c r="P16">
        <v>8</v>
      </c>
      <c r="S16">
        <v>3</v>
      </c>
      <c r="T16" s="3">
        <f t="shared" si="1"/>
        <v>16</v>
      </c>
      <c r="U16" s="3" t="str">
        <f t="shared" si="2"/>
        <v>USTED NO ESTÁ AL DÍA</v>
      </c>
      <c r="V16" s="3" t="s">
        <v>27</v>
      </c>
      <c r="Y16">
        <f t="shared" si="3"/>
        <v>16</v>
      </c>
    </row>
    <row r="17" spans="1:25" ht="14.5" hidden="1" customHeight="1" x14ac:dyDescent="0.35">
      <c r="A17" s="3">
        <v>16911</v>
      </c>
      <c r="B17" s="3" t="s">
        <v>23</v>
      </c>
      <c r="C17" s="2">
        <v>46179</v>
      </c>
      <c r="D17" s="2">
        <v>46174</v>
      </c>
      <c r="E17" s="2">
        <v>46122</v>
      </c>
      <c r="F17" s="2">
        <v>46152</v>
      </c>
      <c r="G17" t="s">
        <v>56</v>
      </c>
      <c r="H17" t="s">
        <v>55</v>
      </c>
      <c r="I17" t="s">
        <v>29</v>
      </c>
      <c r="J17">
        <v>962</v>
      </c>
      <c r="K17">
        <v>978</v>
      </c>
      <c r="L17">
        <f t="shared" si="0"/>
        <v>16</v>
      </c>
      <c r="M17">
        <v>16</v>
      </c>
      <c r="N17">
        <f>IF(L17&lt;&gt;M17,1,0)</f>
        <v>0</v>
      </c>
      <c r="O17">
        <v>16</v>
      </c>
      <c r="S17">
        <v>3</v>
      </c>
      <c r="T17" s="3">
        <f t="shared" si="1"/>
        <v>19</v>
      </c>
      <c r="U17" s="3" t="str">
        <f t="shared" si="2"/>
        <v>USTED ESTÁ AL DÍA</v>
      </c>
      <c r="V17" s="3" t="s">
        <v>27</v>
      </c>
      <c r="X17">
        <v>50</v>
      </c>
      <c r="Y17">
        <f t="shared" si="3"/>
        <v>69</v>
      </c>
    </row>
    <row r="18" spans="1:25" ht="14.5" hidden="1" customHeight="1" x14ac:dyDescent="0.35">
      <c r="A18" s="3">
        <v>16912</v>
      </c>
      <c r="B18" s="3" t="s">
        <v>23</v>
      </c>
      <c r="C18" s="2">
        <v>46179</v>
      </c>
      <c r="D18" s="2">
        <v>46174</v>
      </c>
      <c r="E18" s="2">
        <v>46122</v>
      </c>
      <c r="F18" s="2">
        <v>46152</v>
      </c>
      <c r="G18" t="s">
        <v>57</v>
      </c>
      <c r="H18" t="s">
        <v>55</v>
      </c>
      <c r="I18" t="s">
        <v>31</v>
      </c>
      <c r="J18">
        <v>7661</v>
      </c>
      <c r="K18">
        <v>7714</v>
      </c>
      <c r="L18">
        <f t="shared" si="0"/>
        <v>53</v>
      </c>
      <c r="M18">
        <v>53</v>
      </c>
      <c r="N18">
        <f>IF(L18&lt;&gt;M18,1,0)</f>
        <v>0</v>
      </c>
      <c r="O18">
        <v>53</v>
      </c>
      <c r="S18">
        <v>3</v>
      </c>
      <c r="T18" s="3">
        <f t="shared" si="1"/>
        <v>56</v>
      </c>
      <c r="U18" s="3" t="str">
        <f t="shared" si="2"/>
        <v>USTED ESTÁ AL DÍA</v>
      </c>
      <c r="V18" s="3" t="s">
        <v>27</v>
      </c>
      <c r="Y18">
        <f t="shared" si="3"/>
        <v>56</v>
      </c>
    </row>
    <row r="19" spans="1:25" ht="14.5" hidden="1" customHeight="1" x14ac:dyDescent="0.35">
      <c r="A19" s="3">
        <v>16913</v>
      </c>
      <c r="B19" s="3" t="s">
        <v>23</v>
      </c>
      <c r="C19" s="2">
        <v>46179</v>
      </c>
      <c r="D19" s="2">
        <v>46174</v>
      </c>
      <c r="E19" s="2">
        <v>46122</v>
      </c>
      <c r="F19" s="2">
        <v>46152</v>
      </c>
      <c r="G19" t="s">
        <v>58</v>
      </c>
      <c r="H19" t="s">
        <v>55</v>
      </c>
      <c r="I19" t="s">
        <v>59</v>
      </c>
      <c r="J19">
        <v>290</v>
      </c>
      <c r="K19">
        <v>299</v>
      </c>
      <c r="L19">
        <f t="shared" si="0"/>
        <v>9</v>
      </c>
      <c r="M19">
        <v>9</v>
      </c>
      <c r="N19">
        <f>IF(L19&lt;&gt;M19,1,0)</f>
        <v>0</v>
      </c>
      <c r="O19">
        <v>9</v>
      </c>
      <c r="S19">
        <v>3</v>
      </c>
      <c r="T19" s="3">
        <f t="shared" si="1"/>
        <v>12</v>
      </c>
      <c r="U19" s="3" t="str">
        <f t="shared" si="2"/>
        <v>USTED ESTÁ AL DÍA</v>
      </c>
      <c r="V19" s="3" t="s">
        <v>27</v>
      </c>
      <c r="W19">
        <v>50</v>
      </c>
      <c r="Y19">
        <f t="shared" si="3"/>
        <v>62</v>
      </c>
    </row>
    <row r="20" spans="1:25" ht="14.5" hidden="1" customHeight="1" x14ac:dyDescent="0.35">
      <c r="A20" s="3">
        <v>16914</v>
      </c>
      <c r="B20" s="3" t="s">
        <v>23</v>
      </c>
      <c r="C20" s="2">
        <v>46179</v>
      </c>
      <c r="D20" s="2">
        <v>46174</v>
      </c>
      <c r="E20" s="2">
        <v>46122</v>
      </c>
      <c r="F20" s="2">
        <v>46152</v>
      </c>
      <c r="G20" t="s">
        <v>60</v>
      </c>
      <c r="H20" t="s">
        <v>55</v>
      </c>
      <c r="I20" t="s">
        <v>33</v>
      </c>
      <c r="J20">
        <v>1082</v>
      </c>
      <c r="K20">
        <v>1087</v>
      </c>
      <c r="L20">
        <f t="shared" si="0"/>
        <v>5</v>
      </c>
      <c r="M20">
        <v>5</v>
      </c>
      <c r="O20">
        <v>5</v>
      </c>
      <c r="S20">
        <v>3</v>
      </c>
      <c r="T20" s="3">
        <f t="shared" si="1"/>
        <v>8</v>
      </c>
      <c r="U20" s="3" t="str">
        <f t="shared" si="2"/>
        <v>USTED ESTÁ AL DÍA</v>
      </c>
      <c r="V20" s="3" t="s">
        <v>27</v>
      </c>
      <c r="Y20">
        <f t="shared" si="3"/>
        <v>8</v>
      </c>
    </row>
    <row r="21" spans="1:25" ht="15.75" hidden="1" customHeight="1" x14ac:dyDescent="0.35">
      <c r="A21" s="3">
        <v>16915</v>
      </c>
      <c r="B21" s="3" t="s">
        <v>23</v>
      </c>
      <c r="C21" s="2">
        <v>46179</v>
      </c>
      <c r="D21" s="2">
        <v>46174</v>
      </c>
      <c r="E21" s="2">
        <v>46122</v>
      </c>
      <c r="F21" s="2">
        <v>46152</v>
      </c>
      <c r="G21" t="s">
        <v>61</v>
      </c>
      <c r="H21" t="s">
        <v>55</v>
      </c>
      <c r="I21" t="s">
        <v>35</v>
      </c>
      <c r="J21">
        <v>1221</v>
      </c>
      <c r="K21">
        <v>1229</v>
      </c>
      <c r="L21">
        <f t="shared" si="0"/>
        <v>8</v>
      </c>
      <c r="M21">
        <v>8</v>
      </c>
      <c r="N21">
        <f>IF(L21&lt;&gt;M21,1,0)</f>
        <v>0</v>
      </c>
      <c r="O21">
        <v>8</v>
      </c>
      <c r="S21">
        <v>3</v>
      </c>
      <c r="T21" s="3">
        <f t="shared" si="1"/>
        <v>11</v>
      </c>
      <c r="U21" s="3" t="str">
        <f t="shared" si="2"/>
        <v>USTED ESTÁ AL DÍA</v>
      </c>
      <c r="V21" s="3" t="s">
        <v>27</v>
      </c>
      <c r="Y21">
        <f t="shared" si="3"/>
        <v>11</v>
      </c>
    </row>
    <row r="22" spans="1:25" ht="15.75" hidden="1" customHeight="1" x14ac:dyDescent="0.35">
      <c r="A22" s="3">
        <v>16916</v>
      </c>
      <c r="B22" s="3" t="s">
        <v>23</v>
      </c>
      <c r="C22" s="2">
        <v>46179</v>
      </c>
      <c r="D22" s="2">
        <v>46174</v>
      </c>
      <c r="E22" s="2">
        <v>46122</v>
      </c>
      <c r="F22" s="2">
        <v>46152</v>
      </c>
      <c r="G22" t="s">
        <v>62</v>
      </c>
      <c r="H22" t="s">
        <v>55</v>
      </c>
      <c r="I22" t="s">
        <v>37</v>
      </c>
      <c r="J22">
        <v>285</v>
      </c>
      <c r="K22">
        <v>292</v>
      </c>
      <c r="L22">
        <f t="shared" si="0"/>
        <v>7</v>
      </c>
      <c r="M22">
        <v>7</v>
      </c>
      <c r="N22">
        <f>IF(L22&lt;&gt;M22,1,0)</f>
        <v>0</v>
      </c>
      <c r="O22">
        <v>7</v>
      </c>
      <c r="S22">
        <v>3</v>
      </c>
      <c r="T22" s="3">
        <f t="shared" si="1"/>
        <v>10</v>
      </c>
      <c r="U22" s="3" t="str">
        <f t="shared" si="2"/>
        <v>USTED ESTÁ AL DÍA</v>
      </c>
      <c r="V22" s="3" t="s">
        <v>27</v>
      </c>
      <c r="W22">
        <v>20</v>
      </c>
      <c r="Y22">
        <f t="shared" si="3"/>
        <v>30</v>
      </c>
    </row>
    <row r="23" spans="1:25" ht="15.75" hidden="1" customHeight="1" x14ac:dyDescent="0.35">
      <c r="A23" s="3">
        <v>16917</v>
      </c>
      <c r="B23" s="3" t="s">
        <v>23</v>
      </c>
      <c r="C23" s="2">
        <v>46179</v>
      </c>
      <c r="D23" s="2">
        <v>46174</v>
      </c>
      <c r="E23" s="2">
        <v>46122</v>
      </c>
      <c r="F23" s="2">
        <v>46152</v>
      </c>
      <c r="G23" t="s">
        <v>63</v>
      </c>
      <c r="H23" t="s">
        <v>55</v>
      </c>
      <c r="I23" t="s">
        <v>39</v>
      </c>
      <c r="J23">
        <v>460</v>
      </c>
      <c r="K23">
        <v>466</v>
      </c>
      <c r="L23">
        <f t="shared" si="0"/>
        <v>6</v>
      </c>
      <c r="M23">
        <v>6</v>
      </c>
      <c r="N23">
        <f>IF(L23&lt;&gt;M23,1,0)</f>
        <v>0</v>
      </c>
      <c r="O23">
        <v>6</v>
      </c>
      <c r="S23">
        <v>3</v>
      </c>
      <c r="T23" s="3">
        <f t="shared" si="1"/>
        <v>9</v>
      </c>
      <c r="U23" s="3" t="str">
        <f t="shared" si="2"/>
        <v>USTED ESTÁ AL DÍA</v>
      </c>
      <c r="V23" s="3" t="s">
        <v>27</v>
      </c>
      <c r="W23">
        <v>50</v>
      </c>
      <c r="X23">
        <v>50</v>
      </c>
      <c r="Y23">
        <f t="shared" si="3"/>
        <v>109</v>
      </c>
    </row>
    <row r="24" spans="1:25" ht="15.75" hidden="1" customHeight="1" x14ac:dyDescent="0.35">
      <c r="A24" s="3">
        <v>16918</v>
      </c>
      <c r="B24" s="3" t="s">
        <v>23</v>
      </c>
      <c r="C24" s="2">
        <v>46179</v>
      </c>
      <c r="D24" s="2">
        <v>46174</v>
      </c>
      <c r="E24" s="2">
        <v>46122</v>
      </c>
      <c r="F24" s="2">
        <v>46152</v>
      </c>
      <c r="G24" t="s">
        <v>64</v>
      </c>
      <c r="H24" t="s">
        <v>55</v>
      </c>
      <c r="I24" t="s">
        <v>47</v>
      </c>
      <c r="J24">
        <v>77</v>
      </c>
      <c r="K24">
        <v>79</v>
      </c>
      <c r="L24">
        <f t="shared" si="0"/>
        <v>2</v>
      </c>
      <c r="M24">
        <v>5</v>
      </c>
      <c r="O24">
        <v>5</v>
      </c>
      <c r="S24">
        <v>3</v>
      </c>
      <c r="T24" s="3">
        <f t="shared" si="1"/>
        <v>8</v>
      </c>
      <c r="U24" s="3" t="str">
        <f t="shared" si="2"/>
        <v>USTED ESTÁ AL DÍA</v>
      </c>
      <c r="V24" s="3" t="s">
        <v>27</v>
      </c>
      <c r="Y24">
        <f t="shared" si="3"/>
        <v>8</v>
      </c>
    </row>
    <row r="25" spans="1:25" ht="15.75" hidden="1" customHeight="1" x14ac:dyDescent="0.35">
      <c r="A25" s="3">
        <v>16919</v>
      </c>
      <c r="B25" s="3" t="s">
        <v>23</v>
      </c>
      <c r="C25" s="2">
        <v>46179</v>
      </c>
      <c r="D25" s="2">
        <v>46174</v>
      </c>
      <c r="E25" s="2">
        <v>46122</v>
      </c>
      <c r="F25" s="2">
        <v>46152</v>
      </c>
      <c r="G25" t="s">
        <v>65</v>
      </c>
      <c r="H25" t="s">
        <v>55</v>
      </c>
      <c r="I25" t="s">
        <v>66</v>
      </c>
      <c r="J25">
        <v>2</v>
      </c>
      <c r="K25">
        <v>2</v>
      </c>
      <c r="L25">
        <f t="shared" si="0"/>
        <v>0</v>
      </c>
      <c r="M25">
        <v>5</v>
      </c>
      <c r="O25">
        <v>5</v>
      </c>
      <c r="S25">
        <v>3</v>
      </c>
      <c r="T25" s="3">
        <f t="shared" si="1"/>
        <v>8</v>
      </c>
      <c r="U25" s="3" t="str">
        <f t="shared" si="2"/>
        <v>USTED ESTÁ AL DÍA</v>
      </c>
      <c r="V25" s="3" t="s">
        <v>27</v>
      </c>
      <c r="W25">
        <v>80</v>
      </c>
      <c r="Y25">
        <f t="shared" si="3"/>
        <v>88</v>
      </c>
    </row>
    <row r="26" spans="1:25" ht="15.75" hidden="1" customHeight="1" x14ac:dyDescent="0.35">
      <c r="A26" s="3">
        <v>16920</v>
      </c>
      <c r="B26" s="3" t="s">
        <v>23</v>
      </c>
      <c r="C26" s="2">
        <v>46179</v>
      </c>
      <c r="D26" s="2">
        <v>46174</v>
      </c>
      <c r="E26" s="2">
        <v>46122</v>
      </c>
      <c r="F26" s="2">
        <v>46152</v>
      </c>
      <c r="G26" t="s">
        <v>67</v>
      </c>
      <c r="H26" t="s">
        <v>55</v>
      </c>
      <c r="I26" t="s">
        <v>68</v>
      </c>
      <c r="J26">
        <v>57</v>
      </c>
      <c r="K26">
        <v>57</v>
      </c>
      <c r="L26">
        <f t="shared" si="0"/>
        <v>0</v>
      </c>
      <c r="M26">
        <v>5</v>
      </c>
      <c r="O26">
        <v>5</v>
      </c>
      <c r="S26">
        <v>3</v>
      </c>
      <c r="T26" s="3">
        <f t="shared" si="1"/>
        <v>8</v>
      </c>
      <c r="U26" s="3" t="str">
        <f t="shared" si="2"/>
        <v>USTED ESTÁ AL DÍA</v>
      </c>
      <c r="V26" s="3" t="s">
        <v>27</v>
      </c>
      <c r="W26">
        <v>20</v>
      </c>
      <c r="Y26">
        <f t="shared" si="3"/>
        <v>28</v>
      </c>
    </row>
    <row r="27" spans="1:25" ht="15.75" hidden="1" customHeight="1" x14ac:dyDescent="0.35">
      <c r="A27" s="3">
        <v>16921</v>
      </c>
      <c r="B27" s="3" t="s">
        <v>23</v>
      </c>
      <c r="C27" s="2">
        <v>46179</v>
      </c>
      <c r="D27" s="2">
        <v>46174</v>
      </c>
      <c r="E27" s="2">
        <v>46122</v>
      </c>
      <c r="F27" s="2">
        <v>46152</v>
      </c>
      <c r="G27" t="s">
        <v>69</v>
      </c>
      <c r="H27" t="s">
        <v>55</v>
      </c>
      <c r="I27" t="s">
        <v>45</v>
      </c>
      <c r="L27">
        <f t="shared" si="0"/>
        <v>0</v>
      </c>
      <c r="S27">
        <v>0</v>
      </c>
      <c r="T27" s="3">
        <f t="shared" si="1"/>
        <v>0</v>
      </c>
      <c r="U27" s="3" t="str">
        <f t="shared" si="2"/>
        <v>USTED ESTÁ AL DÍA</v>
      </c>
      <c r="V27" s="3" t="s">
        <v>27</v>
      </c>
      <c r="W27">
        <v>30</v>
      </c>
      <c r="X27">
        <v>75</v>
      </c>
      <c r="Y27">
        <f t="shared" si="3"/>
        <v>105</v>
      </c>
    </row>
    <row r="28" spans="1:25" ht="15.75" hidden="1" customHeight="1" x14ac:dyDescent="0.35">
      <c r="A28" s="3">
        <v>16922</v>
      </c>
      <c r="B28" s="3" t="s">
        <v>23</v>
      </c>
      <c r="C28" s="2">
        <v>46179</v>
      </c>
      <c r="D28" s="2">
        <v>46174</v>
      </c>
      <c r="E28" s="2">
        <v>46122</v>
      </c>
      <c r="F28" s="2">
        <v>46152</v>
      </c>
      <c r="G28" t="s">
        <v>70</v>
      </c>
      <c r="H28" t="s">
        <v>55</v>
      </c>
      <c r="I28" t="s">
        <v>41</v>
      </c>
      <c r="L28">
        <f t="shared" si="0"/>
        <v>0</v>
      </c>
      <c r="S28">
        <v>0</v>
      </c>
      <c r="T28" s="3">
        <f t="shared" si="1"/>
        <v>0</v>
      </c>
      <c r="U28" s="3" t="str">
        <f t="shared" si="2"/>
        <v>USTED ESTÁ AL DÍA</v>
      </c>
      <c r="V28" s="3" t="s">
        <v>27</v>
      </c>
      <c r="W28">
        <v>30</v>
      </c>
      <c r="X28">
        <v>50</v>
      </c>
      <c r="Y28">
        <f t="shared" si="3"/>
        <v>80</v>
      </c>
    </row>
    <row r="29" spans="1:25" ht="15.75" hidden="1" customHeight="1" x14ac:dyDescent="0.35">
      <c r="A29" s="3">
        <v>16923</v>
      </c>
      <c r="B29" s="3" t="s">
        <v>23</v>
      </c>
      <c r="C29" s="2">
        <v>46179</v>
      </c>
      <c r="D29" s="2">
        <v>46174</v>
      </c>
      <c r="E29" s="2">
        <v>46122</v>
      </c>
      <c r="F29" s="2">
        <v>46152</v>
      </c>
      <c r="G29" t="s">
        <v>71</v>
      </c>
      <c r="H29" t="s">
        <v>55</v>
      </c>
      <c r="I29" t="s">
        <v>43</v>
      </c>
      <c r="L29">
        <f t="shared" si="0"/>
        <v>0</v>
      </c>
      <c r="S29">
        <v>0</v>
      </c>
      <c r="T29" s="3">
        <f t="shared" si="1"/>
        <v>0</v>
      </c>
      <c r="U29" s="3" t="str">
        <f t="shared" si="2"/>
        <v>USTED ESTÁ AL DÍA</v>
      </c>
      <c r="V29" s="3" t="s">
        <v>27</v>
      </c>
      <c r="W29">
        <v>20</v>
      </c>
      <c r="Y29">
        <f t="shared" si="3"/>
        <v>20</v>
      </c>
    </row>
    <row r="30" spans="1:25" ht="15.75" hidden="1" customHeight="1" x14ac:dyDescent="0.35">
      <c r="A30" s="3">
        <v>16924</v>
      </c>
      <c r="B30" s="3" t="s">
        <v>23</v>
      </c>
      <c r="C30" s="2">
        <v>46179</v>
      </c>
      <c r="D30" s="2">
        <v>46174</v>
      </c>
      <c r="E30" s="2">
        <v>46122</v>
      </c>
      <c r="F30" s="2">
        <v>46152</v>
      </c>
      <c r="G30" t="s">
        <v>72</v>
      </c>
      <c r="H30" t="s">
        <v>73</v>
      </c>
      <c r="I30" t="s">
        <v>41</v>
      </c>
      <c r="J30">
        <v>39</v>
      </c>
      <c r="K30">
        <v>54</v>
      </c>
      <c r="L30">
        <f t="shared" si="0"/>
        <v>15</v>
      </c>
      <c r="M30">
        <v>15</v>
      </c>
      <c r="N30">
        <f>IF(L30&lt;&gt;M30,1,0)</f>
        <v>0</v>
      </c>
      <c r="O30">
        <v>15</v>
      </c>
      <c r="P30">
        <v>21</v>
      </c>
      <c r="R30">
        <v>25</v>
      </c>
      <c r="S30">
        <v>3</v>
      </c>
      <c r="T30" s="3">
        <f t="shared" si="1"/>
        <v>64</v>
      </c>
      <c r="U30" s="3" t="str">
        <f t="shared" si="2"/>
        <v>USTED NO ESTÁ AL DÍA</v>
      </c>
      <c r="V30" s="3" t="s">
        <v>27</v>
      </c>
      <c r="W30">
        <v>30</v>
      </c>
      <c r="X30">
        <v>50</v>
      </c>
      <c r="Y30">
        <f t="shared" si="3"/>
        <v>144</v>
      </c>
    </row>
    <row r="31" spans="1:25" ht="15.75" hidden="1" customHeight="1" x14ac:dyDescent="0.35">
      <c r="A31" s="3">
        <v>16925</v>
      </c>
      <c r="B31" s="3" t="s">
        <v>23</v>
      </c>
      <c r="C31" s="2">
        <v>46179</v>
      </c>
      <c r="D31" s="2">
        <v>46174</v>
      </c>
      <c r="E31" s="2">
        <v>46122</v>
      </c>
      <c r="F31" s="2">
        <v>46152</v>
      </c>
      <c r="G31" t="s">
        <v>74</v>
      </c>
      <c r="H31" t="s">
        <v>73</v>
      </c>
      <c r="I31" t="s">
        <v>45</v>
      </c>
      <c r="J31">
        <v>421</v>
      </c>
      <c r="K31">
        <v>426</v>
      </c>
      <c r="L31">
        <f t="shared" si="0"/>
        <v>5</v>
      </c>
      <c r="M31">
        <v>5</v>
      </c>
      <c r="O31">
        <v>5</v>
      </c>
      <c r="P31">
        <v>25</v>
      </c>
      <c r="S31">
        <v>3</v>
      </c>
      <c r="T31" s="3">
        <f t="shared" si="1"/>
        <v>33</v>
      </c>
      <c r="U31" s="3" t="str">
        <f t="shared" si="2"/>
        <v>USTED NO ESTÁ AL DÍA</v>
      </c>
      <c r="V31" s="3" t="s">
        <v>27</v>
      </c>
      <c r="W31">
        <v>20</v>
      </c>
      <c r="Y31">
        <f t="shared" si="3"/>
        <v>53</v>
      </c>
    </row>
    <row r="32" spans="1:25" ht="15.75" hidden="1" customHeight="1" x14ac:dyDescent="0.35">
      <c r="A32" s="3">
        <v>16926</v>
      </c>
      <c r="B32" s="3" t="s">
        <v>23</v>
      </c>
      <c r="C32" s="2">
        <v>46179</v>
      </c>
      <c r="D32" s="2">
        <v>46174</v>
      </c>
      <c r="E32" s="2">
        <v>46122</v>
      </c>
      <c r="F32" s="2">
        <v>46152</v>
      </c>
      <c r="G32" t="s">
        <v>75</v>
      </c>
      <c r="H32" t="s">
        <v>73</v>
      </c>
      <c r="I32" t="s">
        <v>66</v>
      </c>
      <c r="J32">
        <v>14</v>
      </c>
      <c r="K32">
        <v>19</v>
      </c>
      <c r="L32">
        <f t="shared" si="0"/>
        <v>5</v>
      </c>
      <c r="M32">
        <v>5</v>
      </c>
      <c r="O32">
        <v>5</v>
      </c>
      <c r="P32">
        <v>8</v>
      </c>
      <c r="S32">
        <v>3</v>
      </c>
      <c r="T32" s="3">
        <f t="shared" si="1"/>
        <v>16</v>
      </c>
      <c r="U32" s="3" t="str">
        <f t="shared" si="2"/>
        <v>USTED NO ESTÁ AL DÍA</v>
      </c>
      <c r="V32" s="3" t="s">
        <v>27</v>
      </c>
      <c r="W32">
        <v>30</v>
      </c>
      <c r="Y32">
        <f t="shared" si="3"/>
        <v>46</v>
      </c>
    </row>
    <row r="33" spans="1:25" ht="15.75" hidden="1" customHeight="1" x14ac:dyDescent="0.35">
      <c r="A33" s="3">
        <v>16927</v>
      </c>
      <c r="B33" s="3" t="s">
        <v>23</v>
      </c>
      <c r="C33" s="2">
        <v>46179</v>
      </c>
      <c r="D33" s="2">
        <v>46174</v>
      </c>
      <c r="E33" s="2">
        <v>46122</v>
      </c>
      <c r="F33" s="2">
        <v>46152</v>
      </c>
      <c r="G33" t="s">
        <v>76</v>
      </c>
      <c r="H33" t="s">
        <v>73</v>
      </c>
      <c r="I33" t="s">
        <v>26</v>
      </c>
      <c r="J33">
        <v>23</v>
      </c>
      <c r="K33">
        <v>32</v>
      </c>
      <c r="L33">
        <f t="shared" si="0"/>
        <v>9</v>
      </c>
      <c r="M33">
        <v>9</v>
      </c>
      <c r="N33">
        <f>IF(L33&lt;&gt;M33,1,0)</f>
        <v>0</v>
      </c>
      <c r="O33">
        <v>9</v>
      </c>
      <c r="S33">
        <v>3</v>
      </c>
      <c r="T33" s="3">
        <f t="shared" si="1"/>
        <v>12</v>
      </c>
      <c r="U33" s="3" t="str">
        <f t="shared" si="2"/>
        <v>USTED ESTÁ AL DÍA</v>
      </c>
      <c r="V33" s="3" t="s">
        <v>27</v>
      </c>
      <c r="W33">
        <v>50</v>
      </c>
      <c r="Y33">
        <f t="shared" si="3"/>
        <v>62</v>
      </c>
    </row>
    <row r="34" spans="1:25" ht="15.75" hidden="1" customHeight="1" x14ac:dyDescent="0.35">
      <c r="A34" s="3">
        <v>16928</v>
      </c>
      <c r="B34" s="3" t="s">
        <v>23</v>
      </c>
      <c r="C34" s="2">
        <v>46179</v>
      </c>
      <c r="D34" s="2">
        <v>46174</v>
      </c>
      <c r="E34" s="2">
        <v>46122</v>
      </c>
      <c r="F34" s="2">
        <v>46152</v>
      </c>
      <c r="G34" t="s">
        <v>77</v>
      </c>
      <c r="H34" t="s">
        <v>73</v>
      </c>
      <c r="I34" t="s">
        <v>29</v>
      </c>
      <c r="J34">
        <v>26</v>
      </c>
      <c r="K34">
        <v>36</v>
      </c>
      <c r="L34">
        <f t="shared" si="0"/>
        <v>10</v>
      </c>
      <c r="M34">
        <v>10</v>
      </c>
      <c r="N34">
        <f>IF(L34&lt;&gt;M34,1,0)</f>
        <v>0</v>
      </c>
      <c r="O34">
        <v>10</v>
      </c>
      <c r="R34">
        <v>25</v>
      </c>
      <c r="S34">
        <v>3</v>
      </c>
      <c r="T34" s="3">
        <f t="shared" si="1"/>
        <v>38</v>
      </c>
      <c r="U34" s="3" t="str">
        <f t="shared" si="2"/>
        <v>USTED ESTÁ AL DÍA</v>
      </c>
      <c r="V34" s="3" t="s">
        <v>27</v>
      </c>
      <c r="W34">
        <v>50</v>
      </c>
      <c r="Y34">
        <f t="shared" si="3"/>
        <v>88</v>
      </c>
    </row>
    <row r="35" spans="1:25" ht="15.75" hidden="1" customHeight="1" x14ac:dyDescent="0.35">
      <c r="A35" s="3">
        <v>16929</v>
      </c>
      <c r="B35" s="3" t="s">
        <v>23</v>
      </c>
      <c r="C35" s="2">
        <v>46179</v>
      </c>
      <c r="D35" s="2">
        <v>46174</v>
      </c>
      <c r="E35" s="2">
        <v>46122</v>
      </c>
      <c r="F35" s="2">
        <v>46152</v>
      </c>
      <c r="G35" t="s">
        <v>78</v>
      </c>
      <c r="H35" t="s">
        <v>73</v>
      </c>
      <c r="I35" t="s">
        <v>79</v>
      </c>
      <c r="J35">
        <v>35</v>
      </c>
      <c r="K35">
        <v>35</v>
      </c>
      <c r="L35">
        <f t="shared" si="0"/>
        <v>0</v>
      </c>
      <c r="M35">
        <v>5</v>
      </c>
      <c r="O35">
        <v>5</v>
      </c>
      <c r="P35">
        <v>16</v>
      </c>
      <c r="Q35">
        <v>40</v>
      </c>
      <c r="S35">
        <v>3</v>
      </c>
      <c r="T35" s="3">
        <f t="shared" si="1"/>
        <v>64</v>
      </c>
      <c r="U35" s="3" t="str">
        <f t="shared" si="2"/>
        <v>USTED NO ESTÁ AL DÍA</v>
      </c>
      <c r="V35" s="3" t="s">
        <v>27</v>
      </c>
      <c r="W35">
        <v>30</v>
      </c>
      <c r="X35">
        <v>50</v>
      </c>
      <c r="Y35">
        <f t="shared" si="3"/>
        <v>144</v>
      </c>
    </row>
    <row r="36" spans="1:25" ht="15.75" hidden="1" customHeight="1" x14ac:dyDescent="0.35">
      <c r="A36" s="3">
        <v>16930</v>
      </c>
      <c r="B36" s="3" t="s">
        <v>23</v>
      </c>
      <c r="C36" s="2">
        <v>46179</v>
      </c>
      <c r="D36" s="2">
        <v>46174</v>
      </c>
      <c r="E36" s="2">
        <v>46122</v>
      </c>
      <c r="F36" s="2">
        <v>46152</v>
      </c>
      <c r="G36" t="s">
        <v>80</v>
      </c>
      <c r="H36" t="s">
        <v>73</v>
      </c>
      <c r="I36" t="s">
        <v>31</v>
      </c>
      <c r="J36">
        <v>846</v>
      </c>
      <c r="K36">
        <v>854</v>
      </c>
      <c r="L36">
        <f t="shared" si="0"/>
        <v>8</v>
      </c>
      <c r="M36">
        <v>8</v>
      </c>
      <c r="N36">
        <f t="shared" ref="N36:N41" si="5">IF(L36&lt;&gt;M36,1,0)</f>
        <v>0</v>
      </c>
      <c r="O36">
        <v>8</v>
      </c>
      <c r="S36">
        <v>3</v>
      </c>
      <c r="T36" s="3">
        <f t="shared" si="1"/>
        <v>11</v>
      </c>
      <c r="U36" s="3" t="str">
        <f t="shared" si="2"/>
        <v>USTED ESTÁ AL DÍA</v>
      </c>
      <c r="V36" s="3" t="s">
        <v>27</v>
      </c>
      <c r="Y36">
        <f t="shared" si="3"/>
        <v>11</v>
      </c>
    </row>
    <row r="37" spans="1:25" ht="15.75" hidden="1" customHeight="1" x14ac:dyDescent="0.35">
      <c r="A37" s="3">
        <v>16931</v>
      </c>
      <c r="B37" s="3" t="s">
        <v>23</v>
      </c>
      <c r="C37" s="2">
        <v>46179</v>
      </c>
      <c r="D37" s="2">
        <v>46174</v>
      </c>
      <c r="E37" s="2">
        <v>46122</v>
      </c>
      <c r="F37" s="2">
        <v>46152</v>
      </c>
      <c r="G37" t="s">
        <v>81</v>
      </c>
      <c r="H37" t="s">
        <v>73</v>
      </c>
      <c r="I37" t="s">
        <v>33</v>
      </c>
      <c r="J37">
        <v>655</v>
      </c>
      <c r="K37">
        <v>668</v>
      </c>
      <c r="L37">
        <f t="shared" si="0"/>
        <v>13</v>
      </c>
      <c r="M37">
        <v>13</v>
      </c>
      <c r="N37">
        <f t="shared" si="5"/>
        <v>0</v>
      </c>
      <c r="O37">
        <v>13</v>
      </c>
      <c r="S37">
        <v>3</v>
      </c>
      <c r="T37" s="3">
        <f t="shared" si="1"/>
        <v>16</v>
      </c>
      <c r="U37" s="3" t="str">
        <f t="shared" si="2"/>
        <v>USTED ESTÁ AL DÍA</v>
      </c>
      <c r="V37" s="3" t="s">
        <v>27</v>
      </c>
      <c r="W37">
        <v>30</v>
      </c>
      <c r="X37">
        <v>50</v>
      </c>
      <c r="Y37">
        <f t="shared" si="3"/>
        <v>96</v>
      </c>
    </row>
    <row r="38" spans="1:25" ht="15.75" hidden="1" customHeight="1" x14ac:dyDescent="0.35">
      <c r="A38" s="3">
        <v>16932</v>
      </c>
      <c r="B38" s="3" t="s">
        <v>23</v>
      </c>
      <c r="C38" s="2">
        <v>46179</v>
      </c>
      <c r="D38" s="2">
        <v>46174</v>
      </c>
      <c r="E38" s="2">
        <v>46122</v>
      </c>
      <c r="F38" s="2">
        <v>46152</v>
      </c>
      <c r="G38" t="s">
        <v>82</v>
      </c>
      <c r="H38" t="s">
        <v>73</v>
      </c>
      <c r="I38" t="s">
        <v>35</v>
      </c>
      <c r="J38">
        <v>100</v>
      </c>
      <c r="K38">
        <v>141</v>
      </c>
      <c r="L38">
        <f t="shared" si="0"/>
        <v>41</v>
      </c>
      <c r="M38">
        <v>41</v>
      </c>
      <c r="N38">
        <f t="shared" si="5"/>
        <v>0</v>
      </c>
      <c r="O38">
        <v>41</v>
      </c>
      <c r="Q38">
        <v>40</v>
      </c>
      <c r="R38">
        <v>25</v>
      </c>
      <c r="S38">
        <v>3</v>
      </c>
      <c r="T38" s="3">
        <f t="shared" si="1"/>
        <v>109</v>
      </c>
      <c r="U38" s="3" t="str">
        <f t="shared" si="2"/>
        <v>USTED ESTÁ AL DÍA</v>
      </c>
      <c r="V38" s="3" t="s">
        <v>27</v>
      </c>
      <c r="W38">
        <v>50</v>
      </c>
      <c r="X38">
        <v>50</v>
      </c>
      <c r="Y38">
        <f t="shared" si="3"/>
        <v>209</v>
      </c>
    </row>
    <row r="39" spans="1:25" ht="15.75" hidden="1" customHeight="1" x14ac:dyDescent="0.35">
      <c r="A39" s="3">
        <v>16933</v>
      </c>
      <c r="B39" s="3" t="s">
        <v>23</v>
      </c>
      <c r="C39" s="2">
        <v>46179</v>
      </c>
      <c r="D39" s="2">
        <v>46174</v>
      </c>
      <c r="E39" s="2">
        <v>46122</v>
      </c>
      <c r="F39" s="2">
        <v>46152</v>
      </c>
      <c r="G39" t="s">
        <v>83</v>
      </c>
      <c r="H39" t="s">
        <v>73</v>
      </c>
      <c r="I39" t="s">
        <v>84</v>
      </c>
      <c r="J39">
        <v>195</v>
      </c>
      <c r="K39">
        <v>201</v>
      </c>
      <c r="L39">
        <f t="shared" si="0"/>
        <v>6</v>
      </c>
      <c r="M39">
        <v>6</v>
      </c>
      <c r="N39">
        <f t="shared" si="5"/>
        <v>0</v>
      </c>
      <c r="O39">
        <v>6</v>
      </c>
      <c r="P39">
        <v>11</v>
      </c>
      <c r="R39">
        <v>283</v>
      </c>
      <c r="S39">
        <v>3</v>
      </c>
      <c r="T39" s="3">
        <f t="shared" si="1"/>
        <v>303</v>
      </c>
      <c r="U39" s="3" t="str">
        <f t="shared" si="2"/>
        <v>USTED NO ESTÁ AL DÍA</v>
      </c>
      <c r="V39" s="3" t="s">
        <v>27</v>
      </c>
      <c r="W39">
        <v>50</v>
      </c>
      <c r="Y39">
        <f t="shared" si="3"/>
        <v>353</v>
      </c>
    </row>
    <row r="40" spans="1:25" ht="15.75" hidden="1" customHeight="1" x14ac:dyDescent="0.35">
      <c r="A40" s="3">
        <v>16934</v>
      </c>
      <c r="B40" s="3" t="s">
        <v>23</v>
      </c>
      <c r="C40" s="2">
        <v>46179</v>
      </c>
      <c r="D40" s="2">
        <v>46174</v>
      </c>
      <c r="E40" s="2">
        <v>46122</v>
      </c>
      <c r="F40" s="2">
        <v>46152</v>
      </c>
      <c r="G40" t="s">
        <v>85</v>
      </c>
      <c r="H40" t="s">
        <v>73</v>
      </c>
      <c r="I40" t="s">
        <v>37</v>
      </c>
      <c r="J40">
        <v>62</v>
      </c>
      <c r="K40">
        <v>87</v>
      </c>
      <c r="L40">
        <f t="shared" si="0"/>
        <v>25</v>
      </c>
      <c r="M40">
        <v>25</v>
      </c>
      <c r="N40">
        <f t="shared" si="5"/>
        <v>0</v>
      </c>
      <c r="O40">
        <v>25</v>
      </c>
      <c r="R40">
        <v>25</v>
      </c>
      <c r="S40">
        <v>3</v>
      </c>
      <c r="T40" s="3">
        <f t="shared" si="1"/>
        <v>53</v>
      </c>
      <c r="U40" s="3" t="str">
        <f t="shared" si="2"/>
        <v>USTED ESTÁ AL DÍA</v>
      </c>
      <c r="V40" s="3" t="s">
        <v>27</v>
      </c>
      <c r="W40">
        <v>30</v>
      </c>
      <c r="Y40">
        <f t="shared" si="3"/>
        <v>83</v>
      </c>
    </row>
    <row r="41" spans="1:25" ht="15.75" hidden="1" customHeight="1" x14ac:dyDescent="0.35">
      <c r="A41" s="3">
        <v>16935</v>
      </c>
      <c r="B41" s="3" t="s">
        <v>23</v>
      </c>
      <c r="C41" s="2">
        <v>46179</v>
      </c>
      <c r="D41" s="2">
        <v>46174</v>
      </c>
      <c r="E41" s="2">
        <v>46122</v>
      </c>
      <c r="F41" s="2">
        <v>46152</v>
      </c>
      <c r="G41" t="s">
        <v>86</v>
      </c>
      <c r="H41" t="s">
        <v>73</v>
      </c>
      <c r="I41" t="s">
        <v>39</v>
      </c>
      <c r="J41">
        <v>33</v>
      </c>
      <c r="K41">
        <v>49</v>
      </c>
      <c r="L41">
        <f t="shared" si="0"/>
        <v>16</v>
      </c>
      <c r="M41">
        <v>16</v>
      </c>
      <c r="N41">
        <f t="shared" si="5"/>
        <v>0</v>
      </c>
      <c r="O41">
        <v>16</v>
      </c>
      <c r="R41">
        <v>25</v>
      </c>
      <c r="S41">
        <v>3</v>
      </c>
      <c r="T41" s="3">
        <f t="shared" si="1"/>
        <v>44</v>
      </c>
      <c r="U41" s="3" t="str">
        <f t="shared" si="2"/>
        <v>USTED ESTÁ AL DÍA</v>
      </c>
      <c r="V41" s="3" t="s">
        <v>27</v>
      </c>
      <c r="W41">
        <v>60</v>
      </c>
      <c r="X41">
        <v>50</v>
      </c>
      <c r="Y41">
        <f t="shared" si="3"/>
        <v>154</v>
      </c>
    </row>
    <row r="42" spans="1:25" ht="15.75" hidden="1" customHeight="1" x14ac:dyDescent="0.35">
      <c r="A42" s="3">
        <v>16936</v>
      </c>
      <c r="B42" s="3" t="s">
        <v>23</v>
      </c>
      <c r="C42" s="2">
        <v>46179</v>
      </c>
      <c r="D42" s="2">
        <v>46174</v>
      </c>
      <c r="E42" s="2">
        <v>46122</v>
      </c>
      <c r="F42" s="2">
        <v>46152</v>
      </c>
      <c r="G42" t="s">
        <v>87</v>
      </c>
      <c r="H42" t="s">
        <v>73</v>
      </c>
      <c r="I42" t="s">
        <v>43</v>
      </c>
      <c r="J42">
        <v>78</v>
      </c>
      <c r="K42">
        <v>82</v>
      </c>
      <c r="L42">
        <f t="shared" si="0"/>
        <v>4</v>
      </c>
      <c r="M42">
        <v>5</v>
      </c>
      <c r="O42">
        <v>5</v>
      </c>
      <c r="S42">
        <v>3</v>
      </c>
      <c r="T42" s="3">
        <f t="shared" si="1"/>
        <v>8</v>
      </c>
      <c r="U42" s="3" t="str">
        <f t="shared" si="2"/>
        <v>USTED ESTÁ AL DÍA</v>
      </c>
      <c r="V42" s="3" t="s">
        <v>27</v>
      </c>
      <c r="W42">
        <v>50</v>
      </c>
      <c r="X42">
        <v>50</v>
      </c>
      <c r="Y42">
        <f t="shared" si="3"/>
        <v>108</v>
      </c>
    </row>
    <row r="43" spans="1:25" ht="15.75" hidden="1" customHeight="1" x14ac:dyDescent="0.35">
      <c r="A43" s="3">
        <v>16937</v>
      </c>
      <c r="B43" s="3" t="s">
        <v>23</v>
      </c>
      <c r="C43" s="2">
        <v>46179</v>
      </c>
      <c r="D43" s="2">
        <v>46174</v>
      </c>
      <c r="E43" s="2">
        <v>46122</v>
      </c>
      <c r="F43" s="2">
        <v>46152</v>
      </c>
      <c r="G43" t="s">
        <v>88</v>
      </c>
      <c r="H43" t="s">
        <v>73</v>
      </c>
      <c r="I43" t="s">
        <v>47</v>
      </c>
      <c r="J43">
        <v>48</v>
      </c>
      <c r="K43">
        <v>63</v>
      </c>
      <c r="L43">
        <f t="shared" si="0"/>
        <v>15</v>
      </c>
      <c r="M43">
        <v>15</v>
      </c>
      <c r="N43">
        <f t="shared" ref="N43:N48" si="6">IF(L43&lt;&gt;M43,1,0)</f>
        <v>0</v>
      </c>
      <c r="O43">
        <v>15</v>
      </c>
      <c r="R43">
        <v>25</v>
      </c>
      <c r="S43">
        <v>3</v>
      </c>
      <c r="T43" s="3">
        <f t="shared" si="1"/>
        <v>43</v>
      </c>
      <c r="U43" s="3" t="str">
        <f t="shared" si="2"/>
        <v>USTED ESTÁ AL DÍA</v>
      </c>
      <c r="V43" s="3" t="s">
        <v>27</v>
      </c>
      <c r="X43">
        <v>50</v>
      </c>
      <c r="Y43">
        <f t="shared" si="3"/>
        <v>93</v>
      </c>
    </row>
    <row r="44" spans="1:25" ht="15.75" hidden="1" customHeight="1" x14ac:dyDescent="0.35">
      <c r="A44" s="3">
        <v>16938</v>
      </c>
      <c r="B44" s="3" t="s">
        <v>23</v>
      </c>
      <c r="C44" s="2">
        <v>46179</v>
      </c>
      <c r="D44" s="2">
        <v>46174</v>
      </c>
      <c r="E44" s="2">
        <v>46122</v>
      </c>
      <c r="F44" s="2">
        <v>46152</v>
      </c>
      <c r="G44" t="s">
        <v>89</v>
      </c>
      <c r="H44" t="s">
        <v>73</v>
      </c>
      <c r="I44" t="s">
        <v>68</v>
      </c>
      <c r="J44">
        <v>306</v>
      </c>
      <c r="K44">
        <v>312</v>
      </c>
      <c r="L44">
        <f t="shared" si="0"/>
        <v>6</v>
      </c>
      <c r="M44">
        <v>6</v>
      </c>
      <c r="N44">
        <f t="shared" si="6"/>
        <v>0</v>
      </c>
      <c r="O44">
        <v>6</v>
      </c>
      <c r="S44">
        <v>3</v>
      </c>
      <c r="T44" s="3">
        <f t="shared" si="1"/>
        <v>9</v>
      </c>
      <c r="U44" s="3" t="str">
        <f t="shared" si="2"/>
        <v>USTED ESTÁ AL DÍA</v>
      </c>
      <c r="V44" s="3" t="s">
        <v>27</v>
      </c>
      <c r="W44">
        <v>50</v>
      </c>
      <c r="X44">
        <v>30</v>
      </c>
      <c r="Y44">
        <f t="shared" si="3"/>
        <v>89</v>
      </c>
    </row>
    <row r="45" spans="1:25" ht="15.75" hidden="1" customHeight="1" x14ac:dyDescent="0.35">
      <c r="A45" s="3">
        <v>16939</v>
      </c>
      <c r="B45" s="3" t="s">
        <v>23</v>
      </c>
      <c r="C45" s="2">
        <v>46179</v>
      </c>
      <c r="D45" s="2">
        <v>46174</v>
      </c>
      <c r="E45" s="2">
        <v>46122</v>
      </c>
      <c r="F45" s="2">
        <v>46152</v>
      </c>
      <c r="G45" t="s">
        <v>90</v>
      </c>
      <c r="H45" t="s">
        <v>73</v>
      </c>
      <c r="I45" t="s">
        <v>91</v>
      </c>
      <c r="J45">
        <v>1311</v>
      </c>
      <c r="K45">
        <v>1328</v>
      </c>
      <c r="L45">
        <f t="shared" si="0"/>
        <v>17</v>
      </c>
      <c r="M45">
        <v>17</v>
      </c>
      <c r="N45">
        <f t="shared" si="6"/>
        <v>0</v>
      </c>
      <c r="O45">
        <v>17</v>
      </c>
      <c r="S45">
        <v>3</v>
      </c>
      <c r="T45" s="3">
        <f t="shared" si="1"/>
        <v>20</v>
      </c>
      <c r="U45" s="3" t="str">
        <f t="shared" si="2"/>
        <v>USTED ESTÁ AL DÍA</v>
      </c>
      <c r="V45" s="3" t="s">
        <v>27</v>
      </c>
      <c r="W45">
        <v>50</v>
      </c>
      <c r="Y45">
        <f t="shared" si="3"/>
        <v>70</v>
      </c>
    </row>
    <row r="46" spans="1:25" ht="15.75" hidden="1" customHeight="1" x14ac:dyDescent="0.35">
      <c r="A46" s="3">
        <v>16940</v>
      </c>
      <c r="B46" s="3" t="s">
        <v>23</v>
      </c>
      <c r="C46" s="2">
        <v>46179</v>
      </c>
      <c r="D46" s="2">
        <v>46174</v>
      </c>
      <c r="E46" s="2">
        <v>46122</v>
      </c>
      <c r="F46" s="2">
        <v>46152</v>
      </c>
      <c r="G46" t="s">
        <v>92</v>
      </c>
      <c r="H46" t="s">
        <v>73</v>
      </c>
      <c r="I46" t="s">
        <v>93</v>
      </c>
      <c r="J46">
        <v>1122</v>
      </c>
      <c r="K46">
        <v>1147</v>
      </c>
      <c r="L46">
        <f t="shared" si="0"/>
        <v>25</v>
      </c>
      <c r="M46">
        <v>25</v>
      </c>
      <c r="N46">
        <f t="shared" si="6"/>
        <v>0</v>
      </c>
      <c r="O46">
        <v>25</v>
      </c>
      <c r="Q46">
        <v>20</v>
      </c>
      <c r="S46">
        <v>3</v>
      </c>
      <c r="T46" s="3">
        <f t="shared" si="1"/>
        <v>48</v>
      </c>
      <c r="U46" s="3" t="str">
        <f t="shared" si="2"/>
        <v>USTED ESTÁ AL DÍA</v>
      </c>
      <c r="V46" s="3" t="s">
        <v>27</v>
      </c>
      <c r="X46">
        <v>20</v>
      </c>
      <c r="Y46">
        <f t="shared" si="3"/>
        <v>68</v>
      </c>
    </row>
    <row r="47" spans="1:25" ht="15.75" hidden="1" customHeight="1" x14ac:dyDescent="0.35">
      <c r="A47" s="3">
        <v>16941</v>
      </c>
      <c r="B47" s="3" t="s">
        <v>23</v>
      </c>
      <c r="C47" s="2">
        <v>46179</v>
      </c>
      <c r="D47" s="2">
        <v>46174</v>
      </c>
      <c r="E47" s="2">
        <v>46122</v>
      </c>
      <c r="F47" s="2">
        <v>46152</v>
      </c>
      <c r="G47" t="s">
        <v>94</v>
      </c>
      <c r="H47" t="s">
        <v>73</v>
      </c>
      <c r="I47" t="s">
        <v>95</v>
      </c>
      <c r="J47">
        <v>584</v>
      </c>
      <c r="K47">
        <v>591</v>
      </c>
      <c r="L47">
        <f t="shared" si="0"/>
        <v>7</v>
      </c>
      <c r="M47">
        <v>7</v>
      </c>
      <c r="N47">
        <f t="shared" si="6"/>
        <v>0</v>
      </c>
      <c r="O47">
        <v>7</v>
      </c>
      <c r="S47">
        <v>3</v>
      </c>
      <c r="T47" s="3">
        <f t="shared" si="1"/>
        <v>10</v>
      </c>
      <c r="U47" s="3" t="str">
        <f t="shared" si="2"/>
        <v>USTED ESTÁ AL DÍA</v>
      </c>
      <c r="V47" s="3" t="s">
        <v>27</v>
      </c>
      <c r="W47">
        <v>50</v>
      </c>
      <c r="Y47">
        <f t="shared" si="3"/>
        <v>60</v>
      </c>
    </row>
    <row r="48" spans="1:25" ht="15.75" hidden="1" customHeight="1" x14ac:dyDescent="0.35">
      <c r="A48" s="3">
        <v>16942</v>
      </c>
      <c r="B48" s="3" t="s">
        <v>23</v>
      </c>
      <c r="C48" s="2">
        <v>46179</v>
      </c>
      <c r="D48" s="2">
        <v>46174</v>
      </c>
      <c r="E48" s="2">
        <v>46122</v>
      </c>
      <c r="F48" s="2">
        <v>46152</v>
      </c>
      <c r="G48" t="s">
        <v>96</v>
      </c>
      <c r="H48" t="s">
        <v>73</v>
      </c>
      <c r="I48" t="s">
        <v>97</v>
      </c>
      <c r="J48">
        <v>206</v>
      </c>
      <c r="K48">
        <v>218</v>
      </c>
      <c r="L48">
        <f t="shared" si="0"/>
        <v>12</v>
      </c>
      <c r="M48">
        <v>12</v>
      </c>
      <c r="N48">
        <f t="shared" si="6"/>
        <v>0</v>
      </c>
      <c r="O48">
        <v>12</v>
      </c>
      <c r="Q48">
        <v>20</v>
      </c>
      <c r="S48">
        <v>3</v>
      </c>
      <c r="T48" s="3">
        <f t="shared" si="1"/>
        <v>35</v>
      </c>
      <c r="U48" s="3" t="str">
        <f t="shared" si="2"/>
        <v>USTED ESTÁ AL DÍA</v>
      </c>
      <c r="V48" s="3" t="s">
        <v>27</v>
      </c>
      <c r="W48">
        <v>50</v>
      </c>
      <c r="X48">
        <v>50</v>
      </c>
      <c r="Y48">
        <f t="shared" si="3"/>
        <v>135</v>
      </c>
    </row>
    <row r="49" spans="1:25" ht="15.75" hidden="1" customHeight="1" x14ac:dyDescent="0.35">
      <c r="A49" s="3">
        <v>16943</v>
      </c>
      <c r="B49" s="3" t="s">
        <v>23</v>
      </c>
      <c r="C49" s="2">
        <v>46179</v>
      </c>
      <c r="D49" s="2">
        <v>46174</v>
      </c>
      <c r="E49" s="2">
        <v>46122</v>
      </c>
      <c r="F49" s="2">
        <v>46152</v>
      </c>
      <c r="G49" t="s">
        <v>98</v>
      </c>
      <c r="H49" t="s">
        <v>73</v>
      </c>
      <c r="I49" t="s">
        <v>99</v>
      </c>
      <c r="J49">
        <v>371</v>
      </c>
      <c r="K49">
        <v>376</v>
      </c>
      <c r="L49">
        <f t="shared" si="0"/>
        <v>5</v>
      </c>
      <c r="M49">
        <v>5</v>
      </c>
      <c r="O49">
        <v>5</v>
      </c>
      <c r="Q49">
        <v>20</v>
      </c>
      <c r="S49">
        <v>3</v>
      </c>
      <c r="T49" s="3">
        <f t="shared" si="1"/>
        <v>28</v>
      </c>
      <c r="U49" s="3" t="str">
        <f t="shared" si="2"/>
        <v>USTED ESTÁ AL DÍA</v>
      </c>
      <c r="V49" s="3" t="s">
        <v>27</v>
      </c>
      <c r="W49">
        <v>30</v>
      </c>
      <c r="Y49">
        <f t="shared" si="3"/>
        <v>58</v>
      </c>
    </row>
    <row r="50" spans="1:25" ht="15.75" hidden="1" customHeight="1" x14ac:dyDescent="0.35">
      <c r="A50" s="3">
        <v>16944</v>
      </c>
      <c r="B50" s="3" t="s">
        <v>23</v>
      </c>
      <c r="C50" s="2">
        <v>46179</v>
      </c>
      <c r="D50" s="2">
        <v>46174</v>
      </c>
      <c r="E50" s="2">
        <v>46122</v>
      </c>
      <c r="F50" s="2">
        <v>46152</v>
      </c>
      <c r="G50" t="s">
        <v>100</v>
      </c>
      <c r="H50" t="s">
        <v>73</v>
      </c>
      <c r="I50" t="s">
        <v>101</v>
      </c>
      <c r="L50">
        <f t="shared" si="0"/>
        <v>0</v>
      </c>
      <c r="S50">
        <v>0</v>
      </c>
      <c r="T50" s="3">
        <f t="shared" si="1"/>
        <v>0</v>
      </c>
      <c r="U50" s="3" t="str">
        <f t="shared" si="2"/>
        <v>USTED ESTÁ AL DÍA</v>
      </c>
      <c r="V50" s="3" t="s">
        <v>27</v>
      </c>
      <c r="W50">
        <v>50</v>
      </c>
      <c r="X50">
        <v>75</v>
      </c>
      <c r="Y50">
        <f t="shared" si="3"/>
        <v>125</v>
      </c>
    </row>
    <row r="51" spans="1:25" ht="15.75" hidden="1" customHeight="1" x14ac:dyDescent="0.35">
      <c r="A51" s="3">
        <v>16945</v>
      </c>
      <c r="B51" s="3" t="s">
        <v>23</v>
      </c>
      <c r="C51" s="2">
        <v>46179</v>
      </c>
      <c r="D51" s="2">
        <v>46174</v>
      </c>
      <c r="E51" s="2">
        <v>46122</v>
      </c>
      <c r="F51" s="2">
        <v>46152</v>
      </c>
      <c r="G51" t="s">
        <v>102</v>
      </c>
      <c r="H51" t="s">
        <v>103</v>
      </c>
      <c r="I51" t="s">
        <v>26</v>
      </c>
      <c r="J51">
        <v>1748</v>
      </c>
      <c r="K51">
        <v>1754</v>
      </c>
      <c r="L51">
        <f t="shared" si="0"/>
        <v>6</v>
      </c>
      <c r="M51">
        <v>6</v>
      </c>
      <c r="N51">
        <f>IF(L51&lt;&gt;M51,1,0)</f>
        <v>0</v>
      </c>
      <c r="O51">
        <v>6</v>
      </c>
      <c r="S51">
        <v>3</v>
      </c>
      <c r="T51" s="3">
        <f t="shared" si="1"/>
        <v>9</v>
      </c>
      <c r="U51" s="3" t="str">
        <f t="shared" si="2"/>
        <v>USTED ESTÁ AL DÍA</v>
      </c>
      <c r="V51" s="3" t="s">
        <v>27</v>
      </c>
      <c r="W51">
        <v>20</v>
      </c>
      <c r="X51">
        <v>50</v>
      </c>
      <c r="Y51">
        <f t="shared" si="3"/>
        <v>79</v>
      </c>
    </row>
    <row r="52" spans="1:25" ht="15.75" hidden="1" customHeight="1" x14ac:dyDescent="0.35">
      <c r="A52" s="3">
        <v>16946</v>
      </c>
      <c r="B52" s="3" t="s">
        <v>23</v>
      </c>
      <c r="C52" s="2">
        <v>46179</v>
      </c>
      <c r="D52" s="2">
        <v>46174</v>
      </c>
      <c r="E52" s="2">
        <v>46122</v>
      </c>
      <c r="F52" s="2">
        <v>46152</v>
      </c>
      <c r="G52" t="s">
        <v>104</v>
      </c>
      <c r="H52" t="s">
        <v>103</v>
      </c>
      <c r="I52" t="s">
        <v>31</v>
      </c>
      <c r="J52">
        <v>33</v>
      </c>
      <c r="K52">
        <v>33</v>
      </c>
      <c r="L52">
        <f t="shared" si="0"/>
        <v>0</v>
      </c>
      <c r="M52">
        <v>5</v>
      </c>
      <c r="O52">
        <v>5</v>
      </c>
      <c r="S52">
        <v>3</v>
      </c>
      <c r="T52" s="3">
        <f t="shared" si="1"/>
        <v>8</v>
      </c>
      <c r="U52" s="3" t="str">
        <f t="shared" si="2"/>
        <v>USTED ESTÁ AL DÍA</v>
      </c>
      <c r="V52" s="3" t="s">
        <v>27</v>
      </c>
      <c r="W52">
        <v>50</v>
      </c>
      <c r="X52">
        <v>50</v>
      </c>
      <c r="Y52">
        <f t="shared" si="3"/>
        <v>108</v>
      </c>
    </row>
    <row r="53" spans="1:25" ht="15.75" hidden="1" customHeight="1" x14ac:dyDescent="0.35">
      <c r="A53" s="3">
        <v>16947</v>
      </c>
      <c r="B53" s="3" t="s">
        <v>23</v>
      </c>
      <c r="C53" s="2">
        <v>46179</v>
      </c>
      <c r="D53" s="2">
        <v>46174</v>
      </c>
      <c r="E53" s="2">
        <v>46122</v>
      </c>
      <c r="F53" s="2">
        <v>46152</v>
      </c>
      <c r="G53" t="s">
        <v>105</v>
      </c>
      <c r="H53" t="s">
        <v>103</v>
      </c>
      <c r="I53" t="s">
        <v>33</v>
      </c>
      <c r="J53">
        <v>131</v>
      </c>
      <c r="K53">
        <v>140</v>
      </c>
      <c r="L53">
        <f t="shared" si="0"/>
        <v>9</v>
      </c>
      <c r="M53">
        <v>9</v>
      </c>
      <c r="N53">
        <f t="shared" ref="N53:N59" si="7">IF(L53&lt;&gt;M53,1,0)</f>
        <v>0</v>
      </c>
      <c r="O53">
        <v>9</v>
      </c>
      <c r="S53">
        <v>3</v>
      </c>
      <c r="T53" s="3">
        <f t="shared" si="1"/>
        <v>12</v>
      </c>
      <c r="U53" s="3" t="str">
        <f t="shared" si="2"/>
        <v>USTED ESTÁ AL DÍA</v>
      </c>
      <c r="V53" s="3" t="s">
        <v>27</v>
      </c>
      <c r="Y53">
        <f t="shared" si="3"/>
        <v>12</v>
      </c>
    </row>
    <row r="54" spans="1:25" ht="15.75" hidden="1" customHeight="1" x14ac:dyDescent="0.35">
      <c r="A54" s="3">
        <v>16948</v>
      </c>
      <c r="B54" s="3" t="s">
        <v>23</v>
      </c>
      <c r="C54" s="2">
        <v>46179</v>
      </c>
      <c r="D54" s="2">
        <v>46174</v>
      </c>
      <c r="E54" s="2">
        <v>46122</v>
      </c>
      <c r="F54" s="2">
        <v>46152</v>
      </c>
      <c r="G54" t="s">
        <v>106</v>
      </c>
      <c r="H54" t="s">
        <v>103</v>
      </c>
      <c r="I54" t="s">
        <v>35</v>
      </c>
      <c r="J54">
        <v>1564</v>
      </c>
      <c r="K54">
        <v>1575</v>
      </c>
      <c r="L54">
        <f t="shared" si="0"/>
        <v>11</v>
      </c>
      <c r="M54">
        <v>11</v>
      </c>
      <c r="N54">
        <f t="shared" si="7"/>
        <v>0</v>
      </c>
      <c r="O54">
        <v>11</v>
      </c>
      <c r="P54">
        <v>3</v>
      </c>
      <c r="S54">
        <v>3</v>
      </c>
      <c r="T54" s="3">
        <f t="shared" si="1"/>
        <v>17</v>
      </c>
      <c r="U54" s="3" t="str">
        <f t="shared" si="2"/>
        <v>USTED ESTÁ AL DÍA</v>
      </c>
      <c r="V54" s="3" t="s">
        <v>27</v>
      </c>
      <c r="W54">
        <v>30</v>
      </c>
      <c r="Y54">
        <f t="shared" si="3"/>
        <v>47</v>
      </c>
    </row>
    <row r="55" spans="1:25" ht="15.75" hidden="1" customHeight="1" x14ac:dyDescent="0.35">
      <c r="A55" s="3">
        <v>16949</v>
      </c>
      <c r="B55" s="3" t="s">
        <v>23</v>
      </c>
      <c r="C55" s="2">
        <v>46179</v>
      </c>
      <c r="D55" s="2">
        <v>46174</v>
      </c>
      <c r="E55" s="2">
        <v>46122</v>
      </c>
      <c r="F55" s="2">
        <v>46152</v>
      </c>
      <c r="G55" t="s">
        <v>107</v>
      </c>
      <c r="H55" t="s">
        <v>103</v>
      </c>
      <c r="I55" t="s">
        <v>37</v>
      </c>
      <c r="J55">
        <v>1133</v>
      </c>
      <c r="K55">
        <v>1142</v>
      </c>
      <c r="L55">
        <f t="shared" si="0"/>
        <v>9</v>
      </c>
      <c r="M55">
        <v>9</v>
      </c>
      <c r="N55">
        <f t="shared" si="7"/>
        <v>0</v>
      </c>
      <c r="O55">
        <v>9</v>
      </c>
      <c r="S55">
        <v>3</v>
      </c>
      <c r="T55" s="3">
        <f t="shared" si="1"/>
        <v>12</v>
      </c>
      <c r="U55" s="3" t="str">
        <f t="shared" si="2"/>
        <v>USTED ESTÁ AL DÍA</v>
      </c>
      <c r="V55" s="3" t="s">
        <v>27</v>
      </c>
      <c r="X55">
        <v>50</v>
      </c>
      <c r="Y55">
        <f t="shared" si="3"/>
        <v>62</v>
      </c>
    </row>
    <row r="56" spans="1:25" ht="15.75" hidden="1" customHeight="1" x14ac:dyDescent="0.35">
      <c r="A56" s="3">
        <v>16950</v>
      </c>
      <c r="B56" s="3" t="s">
        <v>23</v>
      </c>
      <c r="C56" s="2">
        <v>46179</v>
      </c>
      <c r="D56" s="2">
        <v>46174</v>
      </c>
      <c r="E56" s="2">
        <v>46122</v>
      </c>
      <c r="F56" s="2">
        <v>46152</v>
      </c>
      <c r="G56" t="s">
        <v>108</v>
      </c>
      <c r="H56" t="s">
        <v>103</v>
      </c>
      <c r="I56" t="s">
        <v>41</v>
      </c>
      <c r="J56">
        <v>1753</v>
      </c>
      <c r="K56">
        <v>1762</v>
      </c>
      <c r="L56">
        <f t="shared" si="0"/>
        <v>9</v>
      </c>
      <c r="M56">
        <v>9</v>
      </c>
      <c r="N56">
        <f t="shared" si="7"/>
        <v>0</v>
      </c>
      <c r="O56">
        <v>9</v>
      </c>
      <c r="S56">
        <v>3</v>
      </c>
      <c r="T56" s="3">
        <f t="shared" si="1"/>
        <v>12</v>
      </c>
      <c r="U56" s="3" t="str">
        <f t="shared" si="2"/>
        <v>USTED ESTÁ AL DÍA</v>
      </c>
      <c r="V56" s="3" t="s">
        <v>27</v>
      </c>
      <c r="W56">
        <v>50</v>
      </c>
      <c r="X56">
        <v>75</v>
      </c>
      <c r="Y56">
        <f t="shared" si="3"/>
        <v>137</v>
      </c>
    </row>
    <row r="57" spans="1:25" ht="15.75" hidden="1" customHeight="1" x14ac:dyDescent="0.35">
      <c r="A57" s="3">
        <v>16951</v>
      </c>
      <c r="B57" s="3" t="s">
        <v>23</v>
      </c>
      <c r="C57" s="2">
        <v>46179</v>
      </c>
      <c r="D57" s="2">
        <v>46174</v>
      </c>
      <c r="E57" s="2">
        <v>46122</v>
      </c>
      <c r="F57" s="2">
        <v>46152</v>
      </c>
      <c r="G57" t="s">
        <v>109</v>
      </c>
      <c r="H57" t="s">
        <v>103</v>
      </c>
      <c r="I57" t="s">
        <v>43</v>
      </c>
      <c r="J57">
        <v>1678</v>
      </c>
      <c r="K57">
        <v>1687</v>
      </c>
      <c r="L57">
        <f t="shared" si="0"/>
        <v>9</v>
      </c>
      <c r="M57">
        <v>9</v>
      </c>
      <c r="N57">
        <f t="shared" si="7"/>
        <v>0</v>
      </c>
      <c r="O57">
        <v>9</v>
      </c>
      <c r="S57">
        <v>3</v>
      </c>
      <c r="T57" s="3">
        <f t="shared" si="1"/>
        <v>12</v>
      </c>
      <c r="U57" s="3" t="str">
        <f t="shared" si="2"/>
        <v>USTED ESTÁ AL DÍA</v>
      </c>
      <c r="V57" s="3" t="s">
        <v>27</v>
      </c>
      <c r="X57">
        <v>50</v>
      </c>
      <c r="Y57">
        <f t="shared" si="3"/>
        <v>62</v>
      </c>
    </row>
    <row r="58" spans="1:25" ht="15.75" hidden="1" customHeight="1" x14ac:dyDescent="0.35">
      <c r="A58" s="3">
        <v>16952</v>
      </c>
      <c r="B58" s="3" t="s">
        <v>23</v>
      </c>
      <c r="C58" s="2">
        <v>46179</v>
      </c>
      <c r="D58" s="2">
        <v>46174</v>
      </c>
      <c r="E58" s="2">
        <v>46122</v>
      </c>
      <c r="F58" s="2">
        <v>46152</v>
      </c>
      <c r="G58" t="s">
        <v>110</v>
      </c>
      <c r="H58" t="s">
        <v>103</v>
      </c>
      <c r="I58" t="s">
        <v>47</v>
      </c>
      <c r="J58">
        <v>804</v>
      </c>
      <c r="K58">
        <v>816</v>
      </c>
      <c r="L58">
        <f t="shared" si="0"/>
        <v>12</v>
      </c>
      <c r="M58">
        <v>12</v>
      </c>
      <c r="N58">
        <f t="shared" si="7"/>
        <v>0</v>
      </c>
      <c r="O58">
        <v>12</v>
      </c>
      <c r="S58">
        <v>3</v>
      </c>
      <c r="T58" s="3">
        <f t="shared" si="1"/>
        <v>15</v>
      </c>
      <c r="U58" s="3" t="str">
        <f t="shared" si="2"/>
        <v>USTED ESTÁ AL DÍA</v>
      </c>
      <c r="V58" s="3" t="s">
        <v>27</v>
      </c>
      <c r="W58">
        <v>30</v>
      </c>
      <c r="Y58">
        <f t="shared" si="3"/>
        <v>45</v>
      </c>
    </row>
    <row r="59" spans="1:25" ht="15.75" hidden="1" customHeight="1" x14ac:dyDescent="0.35">
      <c r="A59" s="3">
        <v>16953</v>
      </c>
      <c r="B59" s="3" t="s">
        <v>23</v>
      </c>
      <c r="C59" s="2">
        <v>46179</v>
      </c>
      <c r="D59" s="2">
        <v>46174</v>
      </c>
      <c r="E59" s="2">
        <v>46122</v>
      </c>
      <c r="F59" s="2">
        <v>46152</v>
      </c>
      <c r="G59" t="s">
        <v>111</v>
      </c>
      <c r="H59" t="s">
        <v>103</v>
      </c>
      <c r="I59" t="s">
        <v>68</v>
      </c>
      <c r="J59">
        <v>94</v>
      </c>
      <c r="K59">
        <v>125</v>
      </c>
      <c r="L59">
        <f t="shared" si="0"/>
        <v>31</v>
      </c>
      <c r="M59">
        <v>31</v>
      </c>
      <c r="N59">
        <f t="shared" si="7"/>
        <v>0</v>
      </c>
      <c r="O59">
        <v>31</v>
      </c>
      <c r="S59">
        <v>3</v>
      </c>
      <c r="T59" s="3">
        <f t="shared" si="1"/>
        <v>34</v>
      </c>
      <c r="U59" s="3" t="str">
        <f t="shared" si="2"/>
        <v>USTED ESTÁ AL DÍA</v>
      </c>
      <c r="V59" s="3" t="s">
        <v>27</v>
      </c>
      <c r="W59">
        <v>30</v>
      </c>
      <c r="Y59">
        <f t="shared" si="3"/>
        <v>64</v>
      </c>
    </row>
    <row r="60" spans="1:25" ht="15.75" hidden="1" customHeight="1" x14ac:dyDescent="0.35">
      <c r="A60" s="3">
        <v>16954</v>
      </c>
      <c r="B60" s="3" t="s">
        <v>23</v>
      </c>
      <c r="C60" s="2">
        <v>46179</v>
      </c>
      <c r="D60" s="2">
        <v>46174</v>
      </c>
      <c r="E60" s="2">
        <v>46122</v>
      </c>
      <c r="F60" s="2">
        <v>46152</v>
      </c>
      <c r="G60" t="s">
        <v>112</v>
      </c>
      <c r="H60" t="s">
        <v>103</v>
      </c>
      <c r="I60" t="s">
        <v>97</v>
      </c>
      <c r="J60">
        <v>286</v>
      </c>
      <c r="K60">
        <v>286</v>
      </c>
      <c r="L60">
        <f t="shared" si="0"/>
        <v>0</v>
      </c>
      <c r="M60">
        <v>5</v>
      </c>
      <c r="O60">
        <v>5</v>
      </c>
      <c r="S60">
        <v>3</v>
      </c>
      <c r="T60" s="3">
        <f t="shared" si="1"/>
        <v>8</v>
      </c>
      <c r="U60" s="3" t="str">
        <f t="shared" si="2"/>
        <v>USTED ESTÁ AL DÍA</v>
      </c>
      <c r="V60" s="3" t="s">
        <v>27</v>
      </c>
      <c r="W60">
        <v>30</v>
      </c>
      <c r="Y60">
        <f t="shared" si="3"/>
        <v>38</v>
      </c>
    </row>
    <row r="61" spans="1:25" ht="15.75" hidden="1" customHeight="1" x14ac:dyDescent="0.35">
      <c r="A61" s="3">
        <v>16955</v>
      </c>
      <c r="B61" s="3" t="s">
        <v>23</v>
      </c>
      <c r="C61" s="2">
        <v>46179</v>
      </c>
      <c r="D61" s="2">
        <v>46174</v>
      </c>
      <c r="E61" s="2">
        <v>46122</v>
      </c>
      <c r="F61" s="2">
        <v>46152</v>
      </c>
      <c r="G61" t="s">
        <v>113</v>
      </c>
      <c r="H61" t="s">
        <v>103</v>
      </c>
      <c r="I61" t="s">
        <v>45</v>
      </c>
      <c r="J61">
        <v>1591</v>
      </c>
      <c r="K61">
        <v>1603</v>
      </c>
      <c r="L61">
        <f t="shared" si="0"/>
        <v>12</v>
      </c>
      <c r="M61">
        <v>12</v>
      </c>
      <c r="N61">
        <f>IF(L61&lt;&gt;M61,1,0)</f>
        <v>0</v>
      </c>
      <c r="O61">
        <v>12</v>
      </c>
      <c r="P61">
        <v>14</v>
      </c>
      <c r="S61">
        <v>3</v>
      </c>
      <c r="T61" s="3">
        <f t="shared" si="1"/>
        <v>29</v>
      </c>
      <c r="U61" s="3" t="str">
        <f t="shared" si="2"/>
        <v>USTED NO ESTÁ AL DÍA</v>
      </c>
      <c r="V61" s="3" t="s">
        <v>27</v>
      </c>
      <c r="X61">
        <v>25</v>
      </c>
      <c r="Y61">
        <f t="shared" si="3"/>
        <v>54</v>
      </c>
    </row>
    <row r="62" spans="1:25" ht="15.75" hidden="1" customHeight="1" x14ac:dyDescent="0.35">
      <c r="A62" s="3">
        <v>16956</v>
      </c>
      <c r="B62" s="3" t="s">
        <v>23</v>
      </c>
      <c r="C62" s="2">
        <v>46179</v>
      </c>
      <c r="D62" s="2">
        <v>46174</v>
      </c>
      <c r="E62" s="2">
        <v>46122</v>
      </c>
      <c r="F62" s="2">
        <v>46152</v>
      </c>
      <c r="G62" t="s">
        <v>114</v>
      </c>
      <c r="H62" t="s">
        <v>103</v>
      </c>
      <c r="I62" t="s">
        <v>66</v>
      </c>
      <c r="J62">
        <v>960</v>
      </c>
      <c r="K62">
        <v>970</v>
      </c>
      <c r="L62">
        <f t="shared" si="0"/>
        <v>10</v>
      </c>
      <c r="M62">
        <v>10</v>
      </c>
      <c r="N62">
        <f>IF(L62&lt;&gt;M62,1,0)</f>
        <v>0</v>
      </c>
      <c r="O62">
        <v>10</v>
      </c>
      <c r="P62">
        <v>16</v>
      </c>
      <c r="S62">
        <v>3</v>
      </c>
      <c r="T62" s="3">
        <f t="shared" si="1"/>
        <v>29</v>
      </c>
      <c r="U62" s="3" t="str">
        <f t="shared" si="2"/>
        <v>USTED NO ESTÁ AL DÍA</v>
      </c>
      <c r="V62" s="3" t="s">
        <v>27</v>
      </c>
      <c r="W62">
        <v>50</v>
      </c>
      <c r="X62">
        <v>50</v>
      </c>
      <c r="Y62">
        <f t="shared" si="3"/>
        <v>129</v>
      </c>
    </row>
    <row r="63" spans="1:25" ht="15.75" hidden="1" customHeight="1" x14ac:dyDescent="0.35">
      <c r="A63" s="3">
        <v>16957</v>
      </c>
      <c r="B63" s="3" t="s">
        <v>23</v>
      </c>
      <c r="C63" s="2">
        <v>46179</v>
      </c>
      <c r="D63" s="2">
        <v>46174</v>
      </c>
      <c r="E63" s="2">
        <v>46122</v>
      </c>
      <c r="F63" s="2">
        <v>46152</v>
      </c>
      <c r="G63" t="s">
        <v>115</v>
      </c>
      <c r="H63" t="s">
        <v>103</v>
      </c>
      <c r="I63" t="s">
        <v>29</v>
      </c>
      <c r="L63">
        <f t="shared" si="0"/>
        <v>0</v>
      </c>
      <c r="S63">
        <v>0</v>
      </c>
      <c r="T63" s="3">
        <f t="shared" si="1"/>
        <v>0</v>
      </c>
      <c r="U63" s="3" t="str">
        <f t="shared" si="2"/>
        <v>USTED ESTÁ AL DÍA</v>
      </c>
      <c r="V63" s="3" t="s">
        <v>27</v>
      </c>
      <c r="W63">
        <v>50</v>
      </c>
      <c r="X63">
        <v>50</v>
      </c>
      <c r="Y63">
        <f t="shared" si="3"/>
        <v>100</v>
      </c>
    </row>
    <row r="64" spans="1:25" ht="15.75" hidden="1" customHeight="1" x14ac:dyDescent="0.35">
      <c r="A64" s="3">
        <v>16958</v>
      </c>
      <c r="B64" s="3" t="s">
        <v>23</v>
      </c>
      <c r="C64" s="2">
        <v>46179</v>
      </c>
      <c r="D64" s="2">
        <v>46174</v>
      </c>
      <c r="E64" s="2">
        <v>46122</v>
      </c>
      <c r="F64" s="2">
        <v>46152</v>
      </c>
      <c r="G64" t="s">
        <v>116</v>
      </c>
      <c r="H64" t="s">
        <v>103</v>
      </c>
      <c r="I64" t="s">
        <v>39</v>
      </c>
      <c r="L64">
        <f t="shared" si="0"/>
        <v>0</v>
      </c>
      <c r="S64">
        <v>0</v>
      </c>
      <c r="T64" s="3">
        <f t="shared" si="1"/>
        <v>0</v>
      </c>
      <c r="U64" s="3" t="str">
        <f t="shared" si="2"/>
        <v>USTED ESTÁ AL DÍA</v>
      </c>
      <c r="V64" s="3" t="s">
        <v>27</v>
      </c>
      <c r="W64">
        <v>50</v>
      </c>
      <c r="X64">
        <v>75</v>
      </c>
      <c r="Y64">
        <f t="shared" si="3"/>
        <v>125</v>
      </c>
    </row>
    <row r="65" spans="1:25" ht="15.75" hidden="1" customHeight="1" x14ac:dyDescent="0.35">
      <c r="A65" s="3">
        <v>16959</v>
      </c>
      <c r="B65" s="3" t="s">
        <v>23</v>
      </c>
      <c r="C65" s="2">
        <v>46179</v>
      </c>
      <c r="D65" s="2">
        <v>46174</v>
      </c>
      <c r="E65" s="2">
        <v>46122</v>
      </c>
      <c r="F65" s="2">
        <v>46152</v>
      </c>
      <c r="G65" t="s">
        <v>117</v>
      </c>
      <c r="H65" t="s">
        <v>118</v>
      </c>
      <c r="I65" t="s">
        <v>39</v>
      </c>
      <c r="J65">
        <v>79</v>
      </c>
      <c r="K65">
        <v>103</v>
      </c>
      <c r="L65">
        <f t="shared" si="0"/>
        <v>24</v>
      </c>
      <c r="M65">
        <v>24</v>
      </c>
      <c r="N65">
        <f>IF(L65&lt;&gt;M65,1,0)</f>
        <v>0</v>
      </c>
      <c r="O65">
        <v>24</v>
      </c>
      <c r="P65">
        <v>29</v>
      </c>
      <c r="R65">
        <v>25</v>
      </c>
      <c r="S65">
        <v>3</v>
      </c>
      <c r="T65" s="3">
        <f t="shared" si="1"/>
        <v>81</v>
      </c>
      <c r="U65" s="3" t="str">
        <f t="shared" si="2"/>
        <v>USTED NO ESTÁ AL DÍA</v>
      </c>
      <c r="V65" s="3" t="s">
        <v>27</v>
      </c>
      <c r="W65">
        <v>30</v>
      </c>
      <c r="Y65">
        <f t="shared" si="3"/>
        <v>111</v>
      </c>
    </row>
    <row r="66" spans="1:25" ht="15.75" hidden="1" customHeight="1" x14ac:dyDescent="0.35">
      <c r="A66" s="3">
        <v>16960</v>
      </c>
      <c r="B66" s="3" t="s">
        <v>23</v>
      </c>
      <c r="C66" s="2">
        <v>46179</v>
      </c>
      <c r="D66" s="2">
        <v>46174</v>
      </c>
      <c r="E66" s="2">
        <v>46122</v>
      </c>
      <c r="F66" s="2">
        <v>46152</v>
      </c>
      <c r="G66" t="s">
        <v>119</v>
      </c>
      <c r="H66" t="s">
        <v>118</v>
      </c>
      <c r="I66" t="s">
        <v>41</v>
      </c>
      <c r="J66">
        <v>295</v>
      </c>
      <c r="K66">
        <v>301</v>
      </c>
      <c r="L66">
        <f t="shared" ref="L66:L129" si="8">K66-J66</f>
        <v>6</v>
      </c>
      <c r="M66">
        <v>6</v>
      </c>
      <c r="N66">
        <f>IF(L66&lt;&gt;M66,1,0)</f>
        <v>0</v>
      </c>
      <c r="O66">
        <v>6</v>
      </c>
      <c r="P66">
        <v>11</v>
      </c>
      <c r="S66">
        <v>3</v>
      </c>
      <c r="T66" s="3">
        <f t="shared" ref="T66:T129" si="9">SUM(O66:S66)</f>
        <v>20</v>
      </c>
      <c r="U66" s="3" t="str">
        <f t="shared" ref="U66:U129" si="10">IF(P66&lt;8,"USTED ESTÁ AL DÍA","USTED NO ESTÁ AL DÍA")</f>
        <v>USTED NO ESTÁ AL DÍA</v>
      </c>
      <c r="V66" s="3" t="s">
        <v>27</v>
      </c>
      <c r="W66">
        <v>50</v>
      </c>
      <c r="X66">
        <v>50</v>
      </c>
      <c r="Y66">
        <f t="shared" ref="Y66:Y129" si="11">T66+W66+X66</f>
        <v>120</v>
      </c>
    </row>
    <row r="67" spans="1:25" ht="15.75" hidden="1" customHeight="1" x14ac:dyDescent="0.35">
      <c r="A67" s="3">
        <v>16961</v>
      </c>
      <c r="B67" s="3" t="s">
        <v>23</v>
      </c>
      <c r="C67" s="2">
        <v>46179</v>
      </c>
      <c r="D67" s="2">
        <v>46174</v>
      </c>
      <c r="E67" s="2">
        <v>46122</v>
      </c>
      <c r="F67" s="2">
        <v>46152</v>
      </c>
      <c r="G67" t="s">
        <v>120</v>
      </c>
      <c r="H67" t="s">
        <v>118</v>
      </c>
      <c r="I67" t="s">
        <v>121</v>
      </c>
      <c r="J67">
        <v>1031</v>
      </c>
      <c r="K67">
        <v>1047</v>
      </c>
      <c r="L67">
        <f t="shared" si="8"/>
        <v>16</v>
      </c>
      <c r="M67">
        <v>16</v>
      </c>
      <c r="N67">
        <f>IF(L67&lt;&gt;M67,1,0)</f>
        <v>0</v>
      </c>
      <c r="O67">
        <v>16</v>
      </c>
      <c r="P67">
        <v>17</v>
      </c>
      <c r="S67">
        <v>3</v>
      </c>
      <c r="T67" s="3">
        <f t="shared" si="9"/>
        <v>36</v>
      </c>
      <c r="U67" s="3" t="str">
        <f t="shared" si="10"/>
        <v>USTED NO ESTÁ AL DÍA</v>
      </c>
      <c r="V67" s="3" t="s">
        <v>27</v>
      </c>
      <c r="Y67">
        <f t="shared" si="11"/>
        <v>36</v>
      </c>
    </row>
    <row r="68" spans="1:25" ht="15.75" hidden="1" customHeight="1" x14ac:dyDescent="0.35">
      <c r="A68" s="3">
        <v>16962</v>
      </c>
      <c r="B68" s="3" t="s">
        <v>23</v>
      </c>
      <c r="C68" s="2">
        <v>46179</v>
      </c>
      <c r="D68" s="2">
        <v>46174</v>
      </c>
      <c r="E68" s="2">
        <v>46122</v>
      </c>
      <c r="F68" s="2">
        <v>46152</v>
      </c>
      <c r="G68" t="s">
        <v>122</v>
      </c>
      <c r="H68" t="s">
        <v>118</v>
      </c>
      <c r="I68" t="s">
        <v>43</v>
      </c>
      <c r="J68">
        <v>2159</v>
      </c>
      <c r="K68">
        <v>2160</v>
      </c>
      <c r="L68">
        <f t="shared" si="8"/>
        <v>1</v>
      </c>
      <c r="M68">
        <v>5</v>
      </c>
      <c r="O68">
        <v>5</v>
      </c>
      <c r="P68">
        <v>11</v>
      </c>
      <c r="S68">
        <v>3</v>
      </c>
      <c r="T68" s="3">
        <f t="shared" si="9"/>
        <v>19</v>
      </c>
      <c r="U68" s="3" t="str">
        <f t="shared" si="10"/>
        <v>USTED NO ESTÁ AL DÍA</v>
      </c>
      <c r="V68" s="3" t="s">
        <v>27</v>
      </c>
      <c r="W68">
        <v>50</v>
      </c>
      <c r="X68">
        <v>50</v>
      </c>
      <c r="Y68">
        <f t="shared" si="11"/>
        <v>119</v>
      </c>
    </row>
    <row r="69" spans="1:25" ht="15.75" hidden="1" customHeight="1" x14ac:dyDescent="0.35">
      <c r="A69" s="3">
        <v>16963</v>
      </c>
      <c r="B69" s="3" t="s">
        <v>23</v>
      </c>
      <c r="C69" s="2">
        <v>46179</v>
      </c>
      <c r="D69" s="2">
        <v>46174</v>
      </c>
      <c r="E69" s="2">
        <v>46122</v>
      </c>
      <c r="F69" s="2">
        <v>46152</v>
      </c>
      <c r="G69" t="s">
        <v>123</v>
      </c>
      <c r="H69" t="s">
        <v>118</v>
      </c>
      <c r="I69" t="s">
        <v>124</v>
      </c>
      <c r="J69">
        <v>1719</v>
      </c>
      <c r="K69">
        <v>1739</v>
      </c>
      <c r="L69">
        <f t="shared" si="8"/>
        <v>20</v>
      </c>
      <c r="M69">
        <v>20</v>
      </c>
      <c r="N69">
        <f>IF(L69&lt;&gt;M69,1,0)</f>
        <v>0</v>
      </c>
      <c r="O69">
        <v>20</v>
      </c>
      <c r="P69">
        <v>49</v>
      </c>
      <c r="S69">
        <v>3</v>
      </c>
      <c r="T69" s="3">
        <f t="shared" si="9"/>
        <v>72</v>
      </c>
      <c r="U69" s="3" t="str">
        <f t="shared" si="10"/>
        <v>USTED NO ESTÁ AL DÍA</v>
      </c>
      <c r="V69" s="3" t="s">
        <v>27</v>
      </c>
      <c r="W69">
        <v>50</v>
      </c>
      <c r="Y69">
        <f t="shared" si="11"/>
        <v>122</v>
      </c>
    </row>
    <row r="70" spans="1:25" ht="15.75" hidden="1" customHeight="1" x14ac:dyDescent="0.35">
      <c r="A70" s="3">
        <v>16964</v>
      </c>
      <c r="B70" s="3" t="s">
        <v>23</v>
      </c>
      <c r="C70" s="2">
        <v>46179</v>
      </c>
      <c r="D70" s="2">
        <v>46174</v>
      </c>
      <c r="E70" s="2">
        <v>46122</v>
      </c>
      <c r="F70" s="2">
        <v>46152</v>
      </c>
      <c r="G70" t="s">
        <v>125</v>
      </c>
      <c r="H70" t="s">
        <v>118</v>
      </c>
      <c r="I70" t="s">
        <v>26</v>
      </c>
      <c r="J70">
        <v>37</v>
      </c>
      <c r="K70">
        <v>51</v>
      </c>
      <c r="L70">
        <f t="shared" si="8"/>
        <v>14</v>
      </c>
      <c r="M70">
        <v>14</v>
      </c>
      <c r="N70">
        <f>IF(L70&lt;&gt;M70,1,0)</f>
        <v>0</v>
      </c>
      <c r="O70">
        <v>14</v>
      </c>
      <c r="R70">
        <v>25</v>
      </c>
      <c r="S70">
        <v>3</v>
      </c>
      <c r="T70" s="3">
        <f t="shared" si="9"/>
        <v>42</v>
      </c>
      <c r="U70" s="3" t="str">
        <f t="shared" si="10"/>
        <v>USTED ESTÁ AL DÍA</v>
      </c>
      <c r="V70" s="3" t="s">
        <v>27</v>
      </c>
      <c r="W70">
        <v>50</v>
      </c>
      <c r="X70">
        <v>50</v>
      </c>
      <c r="Y70">
        <f t="shared" si="11"/>
        <v>142</v>
      </c>
    </row>
    <row r="71" spans="1:25" ht="15.75" hidden="1" customHeight="1" x14ac:dyDescent="0.35">
      <c r="A71" s="3">
        <v>16965</v>
      </c>
      <c r="B71" s="3" t="s">
        <v>23</v>
      </c>
      <c r="C71" s="2">
        <v>46179</v>
      </c>
      <c r="D71" s="2">
        <v>46174</v>
      </c>
      <c r="E71" s="2">
        <v>46122</v>
      </c>
      <c r="F71" s="2">
        <v>46152</v>
      </c>
      <c r="G71" t="s">
        <v>126</v>
      </c>
      <c r="H71" t="s">
        <v>118</v>
      </c>
      <c r="I71" t="s">
        <v>29</v>
      </c>
      <c r="J71">
        <v>11</v>
      </c>
      <c r="K71">
        <v>16</v>
      </c>
      <c r="L71">
        <f t="shared" si="8"/>
        <v>5</v>
      </c>
      <c r="M71">
        <v>5</v>
      </c>
      <c r="O71">
        <v>5</v>
      </c>
      <c r="R71">
        <v>25</v>
      </c>
      <c r="S71">
        <v>3</v>
      </c>
      <c r="T71" s="3">
        <f t="shared" si="9"/>
        <v>33</v>
      </c>
      <c r="U71" s="3" t="str">
        <f t="shared" si="10"/>
        <v>USTED ESTÁ AL DÍA</v>
      </c>
      <c r="V71" s="3" t="s">
        <v>27</v>
      </c>
      <c r="W71">
        <v>30</v>
      </c>
      <c r="Y71">
        <f t="shared" si="11"/>
        <v>63</v>
      </c>
    </row>
    <row r="72" spans="1:25" ht="15.75" hidden="1" customHeight="1" x14ac:dyDescent="0.35">
      <c r="A72" s="3">
        <v>16966</v>
      </c>
      <c r="B72" s="3" t="s">
        <v>23</v>
      </c>
      <c r="C72" s="2">
        <v>46179</v>
      </c>
      <c r="D72" s="2">
        <v>46174</v>
      </c>
      <c r="E72" s="2">
        <v>46122</v>
      </c>
      <c r="F72" s="2">
        <v>46152</v>
      </c>
      <c r="G72" t="s">
        <v>127</v>
      </c>
      <c r="H72" t="s">
        <v>118</v>
      </c>
      <c r="I72" t="s">
        <v>33</v>
      </c>
      <c r="J72">
        <v>31</v>
      </c>
      <c r="K72">
        <v>43</v>
      </c>
      <c r="L72">
        <f t="shared" si="8"/>
        <v>12</v>
      </c>
      <c r="M72">
        <v>12</v>
      </c>
      <c r="N72">
        <f t="shared" ref="N72:N80" si="12">IF(L72&lt;&gt;M72,1,0)</f>
        <v>0</v>
      </c>
      <c r="O72">
        <v>12</v>
      </c>
      <c r="R72">
        <v>25</v>
      </c>
      <c r="S72">
        <v>3</v>
      </c>
      <c r="T72" s="3">
        <f t="shared" si="9"/>
        <v>40</v>
      </c>
      <c r="U72" s="3" t="str">
        <f t="shared" si="10"/>
        <v>USTED ESTÁ AL DÍA</v>
      </c>
      <c r="V72" s="3" t="s">
        <v>27</v>
      </c>
      <c r="Y72">
        <f t="shared" si="11"/>
        <v>40</v>
      </c>
    </row>
    <row r="73" spans="1:25" ht="15.75" hidden="1" customHeight="1" x14ac:dyDescent="0.35">
      <c r="A73" s="3">
        <v>16967</v>
      </c>
      <c r="B73" s="3" t="s">
        <v>23</v>
      </c>
      <c r="C73" s="2">
        <v>46179</v>
      </c>
      <c r="D73" s="2">
        <v>46174</v>
      </c>
      <c r="E73" s="2">
        <v>46122</v>
      </c>
      <c r="F73" s="2">
        <v>46152</v>
      </c>
      <c r="G73" t="s">
        <v>128</v>
      </c>
      <c r="H73" t="s">
        <v>118</v>
      </c>
      <c r="I73" t="s">
        <v>35</v>
      </c>
      <c r="J73">
        <v>49</v>
      </c>
      <c r="K73">
        <v>68</v>
      </c>
      <c r="L73">
        <f t="shared" si="8"/>
        <v>19</v>
      </c>
      <c r="M73">
        <v>19</v>
      </c>
      <c r="N73">
        <f t="shared" si="12"/>
        <v>0</v>
      </c>
      <c r="O73">
        <v>19</v>
      </c>
      <c r="R73">
        <v>25</v>
      </c>
      <c r="S73">
        <v>3</v>
      </c>
      <c r="T73" s="3">
        <f t="shared" si="9"/>
        <v>47</v>
      </c>
      <c r="U73" s="3" t="str">
        <f t="shared" si="10"/>
        <v>USTED ESTÁ AL DÍA</v>
      </c>
      <c r="V73" s="3" t="s">
        <v>27</v>
      </c>
      <c r="Y73">
        <f t="shared" si="11"/>
        <v>47</v>
      </c>
    </row>
    <row r="74" spans="1:25" ht="15.75" hidden="1" customHeight="1" x14ac:dyDescent="0.35">
      <c r="A74" s="3">
        <v>16968</v>
      </c>
      <c r="B74" s="3" t="s">
        <v>23</v>
      </c>
      <c r="C74" s="2">
        <v>46179</v>
      </c>
      <c r="D74" s="2">
        <v>46174</v>
      </c>
      <c r="E74" s="2">
        <v>46122</v>
      </c>
      <c r="F74" s="2">
        <v>46152</v>
      </c>
      <c r="G74" t="s">
        <v>129</v>
      </c>
      <c r="H74" t="s">
        <v>118</v>
      </c>
      <c r="I74" t="s">
        <v>37</v>
      </c>
      <c r="J74">
        <v>605</v>
      </c>
      <c r="K74">
        <v>612</v>
      </c>
      <c r="L74">
        <f t="shared" si="8"/>
        <v>7</v>
      </c>
      <c r="M74">
        <v>7</v>
      </c>
      <c r="N74">
        <f t="shared" si="12"/>
        <v>0</v>
      </c>
      <c r="O74">
        <v>7</v>
      </c>
      <c r="S74">
        <v>3</v>
      </c>
      <c r="T74" s="3">
        <f t="shared" si="9"/>
        <v>10</v>
      </c>
      <c r="U74" s="3" t="str">
        <f t="shared" si="10"/>
        <v>USTED ESTÁ AL DÍA</v>
      </c>
      <c r="V74" s="3" t="s">
        <v>27</v>
      </c>
      <c r="W74">
        <v>50</v>
      </c>
      <c r="Y74">
        <f t="shared" si="11"/>
        <v>60</v>
      </c>
    </row>
    <row r="75" spans="1:25" ht="15.75" hidden="1" customHeight="1" x14ac:dyDescent="0.35">
      <c r="A75" s="3">
        <v>16969</v>
      </c>
      <c r="B75" s="3" t="s">
        <v>23</v>
      </c>
      <c r="C75" s="2">
        <v>46179</v>
      </c>
      <c r="D75" s="2">
        <v>46174</v>
      </c>
      <c r="E75" s="2">
        <v>46122</v>
      </c>
      <c r="F75" s="2">
        <v>46152</v>
      </c>
      <c r="G75" t="s">
        <v>130</v>
      </c>
      <c r="H75" t="s">
        <v>118</v>
      </c>
      <c r="I75" t="s">
        <v>47</v>
      </c>
      <c r="J75">
        <v>867</v>
      </c>
      <c r="K75">
        <v>884</v>
      </c>
      <c r="L75">
        <f t="shared" si="8"/>
        <v>17</v>
      </c>
      <c r="M75">
        <v>17</v>
      </c>
      <c r="N75">
        <f t="shared" si="12"/>
        <v>0</v>
      </c>
      <c r="O75">
        <v>17</v>
      </c>
      <c r="S75">
        <v>3</v>
      </c>
      <c r="T75" s="3">
        <f t="shared" si="9"/>
        <v>20</v>
      </c>
      <c r="U75" s="3" t="str">
        <f t="shared" si="10"/>
        <v>USTED ESTÁ AL DÍA</v>
      </c>
      <c r="V75" s="3" t="s">
        <v>27</v>
      </c>
      <c r="W75">
        <v>50</v>
      </c>
      <c r="Y75">
        <f t="shared" si="11"/>
        <v>70</v>
      </c>
    </row>
    <row r="76" spans="1:25" ht="15.75" hidden="1" customHeight="1" x14ac:dyDescent="0.35">
      <c r="A76" s="3">
        <v>16970</v>
      </c>
      <c r="B76" s="3" t="s">
        <v>23</v>
      </c>
      <c r="C76" s="2">
        <v>46179</v>
      </c>
      <c r="D76" s="2">
        <v>46174</v>
      </c>
      <c r="E76" s="2">
        <v>46122</v>
      </c>
      <c r="F76" s="2">
        <v>46152</v>
      </c>
      <c r="G76" t="s">
        <v>131</v>
      </c>
      <c r="H76" t="s">
        <v>118</v>
      </c>
      <c r="I76" t="s">
        <v>66</v>
      </c>
      <c r="J76">
        <v>1698</v>
      </c>
      <c r="K76">
        <v>1712</v>
      </c>
      <c r="L76">
        <f t="shared" si="8"/>
        <v>14</v>
      </c>
      <c r="M76">
        <v>14</v>
      </c>
      <c r="N76">
        <f t="shared" si="12"/>
        <v>0</v>
      </c>
      <c r="O76">
        <v>14</v>
      </c>
      <c r="S76">
        <v>3</v>
      </c>
      <c r="T76" s="3">
        <f t="shared" si="9"/>
        <v>17</v>
      </c>
      <c r="U76" s="3" t="str">
        <f t="shared" si="10"/>
        <v>USTED ESTÁ AL DÍA</v>
      </c>
      <c r="V76" s="3" t="s">
        <v>27</v>
      </c>
      <c r="Y76">
        <f t="shared" si="11"/>
        <v>17</v>
      </c>
    </row>
    <row r="77" spans="1:25" ht="15.75" hidden="1" customHeight="1" x14ac:dyDescent="0.35">
      <c r="A77" s="3">
        <v>16971</v>
      </c>
      <c r="B77" s="3" t="s">
        <v>23</v>
      </c>
      <c r="C77" s="2">
        <v>46179</v>
      </c>
      <c r="D77" s="2">
        <v>46174</v>
      </c>
      <c r="E77" s="2">
        <v>46122</v>
      </c>
      <c r="F77" s="2">
        <v>46152</v>
      </c>
      <c r="G77" t="s">
        <v>132</v>
      </c>
      <c r="H77" t="s">
        <v>118</v>
      </c>
      <c r="I77" t="s">
        <v>133</v>
      </c>
      <c r="J77">
        <v>651</v>
      </c>
      <c r="K77">
        <v>671</v>
      </c>
      <c r="L77">
        <f t="shared" si="8"/>
        <v>20</v>
      </c>
      <c r="M77">
        <v>20</v>
      </c>
      <c r="N77">
        <f t="shared" si="12"/>
        <v>0</v>
      </c>
      <c r="O77">
        <v>20</v>
      </c>
      <c r="P77">
        <v>20</v>
      </c>
      <c r="R77">
        <v>300</v>
      </c>
      <c r="S77">
        <v>3</v>
      </c>
      <c r="T77" s="3">
        <f t="shared" si="9"/>
        <v>343</v>
      </c>
      <c r="U77" s="3" t="str">
        <f t="shared" si="10"/>
        <v>USTED NO ESTÁ AL DÍA</v>
      </c>
      <c r="V77" s="3" t="s">
        <v>27</v>
      </c>
      <c r="W77">
        <v>60</v>
      </c>
      <c r="X77">
        <v>75</v>
      </c>
      <c r="Y77">
        <f t="shared" si="11"/>
        <v>478</v>
      </c>
    </row>
    <row r="78" spans="1:25" ht="15.75" hidden="1" customHeight="1" x14ac:dyDescent="0.35">
      <c r="A78" s="3">
        <v>16972</v>
      </c>
      <c r="B78" s="3" t="s">
        <v>23</v>
      </c>
      <c r="C78" s="2">
        <v>46179</v>
      </c>
      <c r="D78" s="2">
        <v>46174</v>
      </c>
      <c r="E78" s="2">
        <v>46122</v>
      </c>
      <c r="F78" s="2">
        <v>46152</v>
      </c>
      <c r="G78" t="s">
        <v>134</v>
      </c>
      <c r="H78" t="s">
        <v>118</v>
      </c>
      <c r="I78" t="s">
        <v>68</v>
      </c>
      <c r="J78">
        <v>18</v>
      </c>
      <c r="K78">
        <v>24</v>
      </c>
      <c r="L78">
        <f t="shared" si="8"/>
        <v>6</v>
      </c>
      <c r="M78">
        <v>6</v>
      </c>
      <c r="N78">
        <f t="shared" si="12"/>
        <v>0</v>
      </c>
      <c r="O78">
        <v>6</v>
      </c>
      <c r="R78">
        <v>25</v>
      </c>
      <c r="S78">
        <v>3</v>
      </c>
      <c r="T78" s="3">
        <f t="shared" si="9"/>
        <v>34</v>
      </c>
      <c r="U78" s="3" t="str">
        <f t="shared" si="10"/>
        <v>USTED ESTÁ AL DÍA</v>
      </c>
      <c r="V78" s="3" t="s">
        <v>27</v>
      </c>
      <c r="Y78">
        <f t="shared" si="11"/>
        <v>34</v>
      </c>
    </row>
    <row r="79" spans="1:25" ht="15.75" hidden="1" customHeight="1" x14ac:dyDescent="0.35">
      <c r="A79" s="3">
        <v>16973</v>
      </c>
      <c r="B79" s="3" t="s">
        <v>23</v>
      </c>
      <c r="C79" s="2">
        <v>46179</v>
      </c>
      <c r="D79" s="2">
        <v>46174</v>
      </c>
      <c r="E79" s="2">
        <v>46122</v>
      </c>
      <c r="F79" s="2">
        <v>46152</v>
      </c>
      <c r="G79" t="s">
        <v>135</v>
      </c>
      <c r="H79" t="s">
        <v>118</v>
      </c>
      <c r="I79" t="s">
        <v>97</v>
      </c>
      <c r="J79">
        <v>15</v>
      </c>
      <c r="K79">
        <v>26</v>
      </c>
      <c r="L79">
        <f t="shared" si="8"/>
        <v>11</v>
      </c>
      <c r="M79">
        <v>11</v>
      </c>
      <c r="N79">
        <f t="shared" si="12"/>
        <v>0</v>
      </c>
      <c r="O79">
        <v>11</v>
      </c>
      <c r="P79">
        <v>15</v>
      </c>
      <c r="R79">
        <v>25</v>
      </c>
      <c r="S79">
        <v>3</v>
      </c>
      <c r="T79" s="3">
        <f t="shared" si="9"/>
        <v>54</v>
      </c>
      <c r="U79" s="3" t="str">
        <f t="shared" si="10"/>
        <v>USTED NO ESTÁ AL DÍA</v>
      </c>
      <c r="V79" s="3" t="s">
        <v>27</v>
      </c>
      <c r="Y79">
        <f t="shared" si="11"/>
        <v>54</v>
      </c>
    </row>
    <row r="80" spans="1:25" ht="15.75" hidden="1" customHeight="1" x14ac:dyDescent="0.35">
      <c r="A80" s="3">
        <v>16974</v>
      </c>
      <c r="B80" s="3" t="s">
        <v>23</v>
      </c>
      <c r="C80" s="2">
        <v>46179</v>
      </c>
      <c r="D80" s="2">
        <v>46174</v>
      </c>
      <c r="E80" s="2">
        <v>46122</v>
      </c>
      <c r="F80" s="2">
        <v>46152</v>
      </c>
      <c r="G80" t="s">
        <v>136</v>
      </c>
      <c r="H80" t="s">
        <v>118</v>
      </c>
      <c r="I80" t="s">
        <v>101</v>
      </c>
      <c r="J80">
        <v>147</v>
      </c>
      <c r="K80">
        <v>156</v>
      </c>
      <c r="L80">
        <f t="shared" si="8"/>
        <v>9</v>
      </c>
      <c r="M80">
        <v>9</v>
      </c>
      <c r="N80">
        <f t="shared" si="12"/>
        <v>0</v>
      </c>
      <c r="O80">
        <v>9</v>
      </c>
      <c r="S80">
        <v>3</v>
      </c>
      <c r="T80" s="3">
        <f t="shared" si="9"/>
        <v>12</v>
      </c>
      <c r="U80" s="3" t="str">
        <f t="shared" si="10"/>
        <v>USTED ESTÁ AL DÍA</v>
      </c>
      <c r="V80" s="3" t="s">
        <v>27</v>
      </c>
      <c r="Y80">
        <f t="shared" si="11"/>
        <v>12</v>
      </c>
    </row>
    <row r="81" spans="1:25" ht="15.75" hidden="1" customHeight="1" x14ac:dyDescent="0.35">
      <c r="A81" s="3">
        <v>16975</v>
      </c>
      <c r="B81" s="3" t="s">
        <v>23</v>
      </c>
      <c r="C81" s="2">
        <v>46179</v>
      </c>
      <c r="D81" s="2">
        <v>46174</v>
      </c>
      <c r="E81" s="2">
        <v>46122</v>
      </c>
      <c r="F81" s="2">
        <v>46152</v>
      </c>
      <c r="G81" t="s">
        <v>137</v>
      </c>
      <c r="H81" t="s">
        <v>118</v>
      </c>
      <c r="I81" t="s">
        <v>138</v>
      </c>
      <c r="J81">
        <v>0</v>
      </c>
      <c r="K81">
        <v>0</v>
      </c>
      <c r="L81">
        <f t="shared" si="8"/>
        <v>0</v>
      </c>
      <c r="M81">
        <v>5</v>
      </c>
      <c r="O81">
        <v>5</v>
      </c>
      <c r="P81">
        <v>8</v>
      </c>
      <c r="R81">
        <v>346</v>
      </c>
      <c r="S81">
        <v>3</v>
      </c>
      <c r="T81" s="3">
        <f t="shared" si="9"/>
        <v>362</v>
      </c>
      <c r="U81" s="3" t="str">
        <f t="shared" si="10"/>
        <v>USTED NO ESTÁ AL DÍA</v>
      </c>
      <c r="V81" s="3" t="s">
        <v>27</v>
      </c>
      <c r="Y81">
        <f t="shared" si="11"/>
        <v>362</v>
      </c>
    </row>
    <row r="82" spans="1:25" ht="15.75" hidden="1" customHeight="1" x14ac:dyDescent="0.35">
      <c r="A82" s="3">
        <v>16976</v>
      </c>
      <c r="B82" s="3" t="s">
        <v>23</v>
      </c>
      <c r="C82" s="2">
        <v>46179</v>
      </c>
      <c r="D82" s="2">
        <v>46174</v>
      </c>
      <c r="E82" s="2">
        <v>46122</v>
      </c>
      <c r="F82" s="2">
        <v>46152</v>
      </c>
      <c r="G82" t="s">
        <v>139</v>
      </c>
      <c r="H82" t="s">
        <v>118</v>
      </c>
      <c r="I82" t="s">
        <v>79</v>
      </c>
      <c r="J82">
        <v>56</v>
      </c>
      <c r="K82">
        <v>59</v>
      </c>
      <c r="L82">
        <f t="shared" si="8"/>
        <v>3</v>
      </c>
      <c r="M82">
        <v>5</v>
      </c>
      <c r="O82">
        <v>5</v>
      </c>
      <c r="R82">
        <v>25</v>
      </c>
      <c r="S82">
        <v>3</v>
      </c>
      <c r="T82" s="3">
        <f t="shared" si="9"/>
        <v>33</v>
      </c>
      <c r="U82" s="3" t="str">
        <f t="shared" si="10"/>
        <v>USTED ESTÁ AL DÍA</v>
      </c>
      <c r="V82" s="3" t="s">
        <v>27</v>
      </c>
      <c r="W82">
        <v>30</v>
      </c>
      <c r="Y82">
        <f t="shared" si="11"/>
        <v>63</v>
      </c>
    </row>
    <row r="83" spans="1:25" ht="15.75" hidden="1" customHeight="1" x14ac:dyDescent="0.35">
      <c r="A83" s="3">
        <v>16977</v>
      </c>
      <c r="B83" s="3" t="s">
        <v>23</v>
      </c>
      <c r="C83" s="2">
        <v>46179</v>
      </c>
      <c r="D83" s="2">
        <v>46174</v>
      </c>
      <c r="E83" s="2">
        <v>46122</v>
      </c>
      <c r="F83" s="2">
        <v>46152</v>
      </c>
      <c r="G83" t="s">
        <v>140</v>
      </c>
      <c r="H83" t="s">
        <v>118</v>
      </c>
      <c r="I83" t="s">
        <v>95</v>
      </c>
      <c r="J83">
        <v>21</v>
      </c>
      <c r="K83">
        <v>29</v>
      </c>
      <c r="L83">
        <f t="shared" si="8"/>
        <v>8</v>
      </c>
      <c r="M83">
        <v>8</v>
      </c>
      <c r="N83">
        <f>IF(L83&lt;&gt;M83,1,0)</f>
        <v>0</v>
      </c>
      <c r="O83">
        <v>8</v>
      </c>
      <c r="R83">
        <v>25</v>
      </c>
      <c r="S83">
        <v>3</v>
      </c>
      <c r="T83" s="3">
        <f t="shared" si="9"/>
        <v>36</v>
      </c>
      <c r="U83" s="3" t="str">
        <f t="shared" si="10"/>
        <v>USTED ESTÁ AL DÍA</v>
      </c>
      <c r="V83" s="3" t="s">
        <v>27</v>
      </c>
      <c r="Y83">
        <f t="shared" si="11"/>
        <v>36</v>
      </c>
    </row>
    <row r="84" spans="1:25" ht="15.75" hidden="1" customHeight="1" x14ac:dyDescent="0.35">
      <c r="A84" s="3">
        <v>16978</v>
      </c>
      <c r="B84" s="3" t="s">
        <v>23</v>
      </c>
      <c r="C84" s="2">
        <v>46179</v>
      </c>
      <c r="D84" s="2">
        <v>46174</v>
      </c>
      <c r="E84" s="2">
        <v>46122</v>
      </c>
      <c r="F84" s="2">
        <v>46152</v>
      </c>
      <c r="G84" t="s">
        <v>141</v>
      </c>
      <c r="H84" t="s">
        <v>118</v>
      </c>
      <c r="I84" t="s">
        <v>91</v>
      </c>
      <c r="J84">
        <v>65</v>
      </c>
      <c r="K84">
        <v>90</v>
      </c>
      <c r="L84">
        <f t="shared" si="8"/>
        <v>25</v>
      </c>
      <c r="M84">
        <v>25</v>
      </c>
      <c r="N84">
        <f>IF(L84&lt;&gt;M84,1,0)</f>
        <v>0</v>
      </c>
      <c r="O84">
        <v>25</v>
      </c>
      <c r="P84">
        <v>3</v>
      </c>
      <c r="S84">
        <v>3</v>
      </c>
      <c r="T84" s="3">
        <f t="shared" si="9"/>
        <v>31</v>
      </c>
      <c r="U84" s="3" t="str">
        <f t="shared" si="10"/>
        <v>USTED ESTÁ AL DÍA</v>
      </c>
      <c r="V84" s="3" t="s">
        <v>27</v>
      </c>
      <c r="W84">
        <v>50</v>
      </c>
      <c r="Y84">
        <f t="shared" si="11"/>
        <v>81</v>
      </c>
    </row>
    <row r="85" spans="1:25" ht="15.75" hidden="1" customHeight="1" x14ac:dyDescent="0.35">
      <c r="A85" s="3">
        <v>16979</v>
      </c>
      <c r="B85" s="3" t="s">
        <v>23</v>
      </c>
      <c r="C85" s="2">
        <v>46179</v>
      </c>
      <c r="D85" s="2">
        <v>46174</v>
      </c>
      <c r="E85" s="2">
        <v>46122</v>
      </c>
      <c r="F85" s="2">
        <v>46152</v>
      </c>
      <c r="G85" t="s">
        <v>142</v>
      </c>
      <c r="H85" t="s">
        <v>118</v>
      </c>
      <c r="I85" t="s">
        <v>84</v>
      </c>
      <c r="J85">
        <v>42</v>
      </c>
      <c r="K85">
        <v>60</v>
      </c>
      <c r="L85">
        <f t="shared" si="8"/>
        <v>18</v>
      </c>
      <c r="M85">
        <v>18</v>
      </c>
      <c r="N85">
        <f>IF(L85&lt;&gt;M85,1,0)</f>
        <v>0</v>
      </c>
      <c r="O85">
        <v>18</v>
      </c>
      <c r="R85">
        <v>10</v>
      </c>
      <c r="S85">
        <v>3</v>
      </c>
      <c r="T85" s="3">
        <f t="shared" si="9"/>
        <v>31</v>
      </c>
      <c r="U85" s="3" t="str">
        <f t="shared" si="10"/>
        <v>USTED ESTÁ AL DÍA</v>
      </c>
      <c r="V85" s="3" t="s">
        <v>27</v>
      </c>
      <c r="Y85">
        <f t="shared" si="11"/>
        <v>31</v>
      </c>
    </row>
    <row r="86" spans="1:25" ht="15.75" hidden="1" customHeight="1" x14ac:dyDescent="0.35">
      <c r="A86" s="3">
        <v>16980</v>
      </c>
      <c r="B86" s="3" t="s">
        <v>23</v>
      </c>
      <c r="C86" s="2">
        <v>46179</v>
      </c>
      <c r="D86" s="2">
        <v>46174</v>
      </c>
      <c r="E86" s="2">
        <v>46122</v>
      </c>
      <c r="F86" s="2">
        <v>46152</v>
      </c>
      <c r="G86" t="s">
        <v>143</v>
      </c>
      <c r="H86" t="s">
        <v>118</v>
      </c>
      <c r="I86" t="s">
        <v>144</v>
      </c>
      <c r="J86">
        <v>144</v>
      </c>
      <c r="K86">
        <v>148</v>
      </c>
      <c r="L86">
        <f t="shared" si="8"/>
        <v>4</v>
      </c>
      <c r="M86">
        <v>5</v>
      </c>
      <c r="O86">
        <v>5</v>
      </c>
      <c r="S86">
        <v>3</v>
      </c>
      <c r="T86" s="3">
        <f t="shared" si="9"/>
        <v>8</v>
      </c>
      <c r="U86" s="3" t="str">
        <f t="shared" si="10"/>
        <v>USTED ESTÁ AL DÍA</v>
      </c>
      <c r="V86" s="3" t="s">
        <v>27</v>
      </c>
      <c r="W86">
        <v>20</v>
      </c>
      <c r="Y86">
        <f t="shared" si="11"/>
        <v>28</v>
      </c>
    </row>
    <row r="87" spans="1:25" ht="15.75" hidden="1" customHeight="1" x14ac:dyDescent="0.35">
      <c r="A87" s="3">
        <v>16981</v>
      </c>
      <c r="B87" s="3" t="s">
        <v>23</v>
      </c>
      <c r="C87" s="2">
        <v>46179</v>
      </c>
      <c r="D87" s="2">
        <v>46174</v>
      </c>
      <c r="E87" s="2">
        <v>46122</v>
      </c>
      <c r="F87" s="2">
        <v>46152</v>
      </c>
      <c r="G87" t="s">
        <v>145</v>
      </c>
      <c r="H87" t="s">
        <v>118</v>
      </c>
      <c r="I87" t="s">
        <v>146</v>
      </c>
      <c r="J87">
        <v>304</v>
      </c>
      <c r="K87">
        <v>328</v>
      </c>
      <c r="L87">
        <f t="shared" si="8"/>
        <v>24</v>
      </c>
      <c r="M87">
        <v>24</v>
      </c>
      <c r="N87">
        <f>IF(L87&lt;&gt;M87,1,0)</f>
        <v>0</v>
      </c>
      <c r="O87">
        <v>24</v>
      </c>
      <c r="S87">
        <v>3</v>
      </c>
      <c r="T87" s="3">
        <f t="shared" si="9"/>
        <v>27</v>
      </c>
      <c r="U87" s="3" t="str">
        <f t="shared" si="10"/>
        <v>USTED ESTÁ AL DÍA</v>
      </c>
      <c r="V87" s="3" t="s">
        <v>27</v>
      </c>
      <c r="W87">
        <v>30</v>
      </c>
      <c r="Y87">
        <f t="shared" si="11"/>
        <v>57</v>
      </c>
    </row>
    <row r="88" spans="1:25" ht="15.75" hidden="1" customHeight="1" x14ac:dyDescent="0.35">
      <c r="A88" s="3">
        <v>16982</v>
      </c>
      <c r="B88" s="3" t="s">
        <v>23</v>
      </c>
      <c r="C88" s="2">
        <v>46179</v>
      </c>
      <c r="D88" s="2">
        <v>46174</v>
      </c>
      <c r="E88" s="2">
        <v>46122</v>
      </c>
      <c r="F88" s="2">
        <v>46152</v>
      </c>
      <c r="G88" t="s">
        <v>147</v>
      </c>
      <c r="H88" t="s">
        <v>118</v>
      </c>
      <c r="I88" t="s">
        <v>148</v>
      </c>
      <c r="J88">
        <v>548</v>
      </c>
      <c r="K88">
        <v>549</v>
      </c>
      <c r="L88">
        <f t="shared" si="8"/>
        <v>1</v>
      </c>
      <c r="M88">
        <v>5</v>
      </c>
      <c r="O88">
        <v>5</v>
      </c>
      <c r="S88">
        <v>3</v>
      </c>
      <c r="T88" s="3">
        <f t="shared" si="9"/>
        <v>8</v>
      </c>
      <c r="U88" s="3" t="str">
        <f t="shared" si="10"/>
        <v>USTED ESTÁ AL DÍA</v>
      </c>
      <c r="V88" s="3" t="s">
        <v>27</v>
      </c>
      <c r="W88">
        <v>50</v>
      </c>
      <c r="Y88">
        <f t="shared" si="11"/>
        <v>58</v>
      </c>
    </row>
    <row r="89" spans="1:25" ht="15.75" hidden="1" customHeight="1" x14ac:dyDescent="0.35">
      <c r="A89" s="3">
        <v>16983</v>
      </c>
      <c r="B89" s="3" t="s">
        <v>23</v>
      </c>
      <c r="C89" s="2">
        <v>46179</v>
      </c>
      <c r="D89" s="2">
        <v>46174</v>
      </c>
      <c r="E89" s="2">
        <v>46122</v>
      </c>
      <c r="F89" s="2">
        <v>46152</v>
      </c>
      <c r="G89" t="s">
        <v>149</v>
      </c>
      <c r="H89" t="s">
        <v>118</v>
      </c>
      <c r="I89" t="s">
        <v>150</v>
      </c>
      <c r="J89">
        <v>38</v>
      </c>
      <c r="K89">
        <v>53</v>
      </c>
      <c r="L89">
        <f t="shared" si="8"/>
        <v>15</v>
      </c>
      <c r="M89">
        <v>15</v>
      </c>
      <c r="N89">
        <f>IF(L89&lt;&gt;M89,1,0)</f>
        <v>0</v>
      </c>
      <c r="O89">
        <v>15</v>
      </c>
      <c r="R89">
        <v>25</v>
      </c>
      <c r="S89">
        <v>3</v>
      </c>
      <c r="T89" s="3">
        <f t="shared" si="9"/>
        <v>43</v>
      </c>
      <c r="U89" s="3" t="str">
        <f t="shared" si="10"/>
        <v>USTED ESTÁ AL DÍA</v>
      </c>
      <c r="V89" s="3" t="s">
        <v>27</v>
      </c>
      <c r="Y89">
        <f t="shared" si="11"/>
        <v>43</v>
      </c>
    </row>
    <row r="90" spans="1:25" ht="15.75" hidden="1" customHeight="1" x14ac:dyDescent="0.35">
      <c r="A90" s="3">
        <v>16984</v>
      </c>
      <c r="B90" s="3" t="s">
        <v>23</v>
      </c>
      <c r="C90" s="2">
        <v>46179</v>
      </c>
      <c r="D90" s="2">
        <v>46174</v>
      </c>
      <c r="E90" s="2">
        <v>46122</v>
      </c>
      <c r="F90" s="2">
        <v>46152</v>
      </c>
      <c r="G90" t="s">
        <v>151</v>
      </c>
      <c r="H90" t="s">
        <v>118</v>
      </c>
      <c r="I90" t="s">
        <v>152</v>
      </c>
      <c r="J90">
        <v>1511</v>
      </c>
      <c r="K90">
        <v>1514</v>
      </c>
      <c r="L90">
        <f t="shared" si="8"/>
        <v>3</v>
      </c>
      <c r="M90">
        <v>5</v>
      </c>
      <c r="O90">
        <v>5</v>
      </c>
      <c r="P90">
        <v>8</v>
      </c>
      <c r="S90">
        <v>3</v>
      </c>
      <c r="T90" s="3">
        <f t="shared" si="9"/>
        <v>16</v>
      </c>
      <c r="U90" s="3" t="str">
        <f t="shared" si="10"/>
        <v>USTED NO ESTÁ AL DÍA</v>
      </c>
      <c r="V90" s="3" t="s">
        <v>27</v>
      </c>
      <c r="W90">
        <v>50</v>
      </c>
      <c r="Y90">
        <f t="shared" si="11"/>
        <v>66</v>
      </c>
    </row>
    <row r="91" spans="1:25" ht="15.75" hidden="1" customHeight="1" x14ac:dyDescent="0.35">
      <c r="A91" s="3">
        <v>16985</v>
      </c>
      <c r="B91" s="3" t="s">
        <v>23</v>
      </c>
      <c r="C91" s="2">
        <v>46179</v>
      </c>
      <c r="D91" s="2">
        <v>46174</v>
      </c>
      <c r="E91" s="2">
        <v>46122</v>
      </c>
      <c r="F91" s="2">
        <v>46152</v>
      </c>
      <c r="G91" t="s">
        <v>153</v>
      </c>
      <c r="H91" t="s">
        <v>118</v>
      </c>
      <c r="I91" t="s">
        <v>154</v>
      </c>
      <c r="J91">
        <v>275</v>
      </c>
      <c r="K91">
        <v>291</v>
      </c>
      <c r="L91">
        <f t="shared" si="8"/>
        <v>16</v>
      </c>
      <c r="M91">
        <v>16</v>
      </c>
      <c r="N91">
        <f t="shared" ref="N91:N96" si="13">IF(L91&lt;&gt;M91,1,0)</f>
        <v>0</v>
      </c>
      <c r="O91">
        <v>16</v>
      </c>
      <c r="S91">
        <v>3</v>
      </c>
      <c r="T91" s="3">
        <f t="shared" si="9"/>
        <v>19</v>
      </c>
      <c r="U91" s="3" t="str">
        <f t="shared" si="10"/>
        <v>USTED ESTÁ AL DÍA</v>
      </c>
      <c r="V91" s="3" t="s">
        <v>27</v>
      </c>
      <c r="W91">
        <v>30</v>
      </c>
      <c r="Y91">
        <f t="shared" si="11"/>
        <v>49</v>
      </c>
    </row>
    <row r="92" spans="1:25" ht="15.75" hidden="1" customHeight="1" x14ac:dyDescent="0.35">
      <c r="A92" s="3">
        <v>16986</v>
      </c>
      <c r="B92" s="3" t="s">
        <v>23</v>
      </c>
      <c r="C92" s="2">
        <v>46179</v>
      </c>
      <c r="D92" s="2">
        <v>46174</v>
      </c>
      <c r="E92" s="2">
        <v>46122</v>
      </c>
      <c r="F92" s="2">
        <v>46152</v>
      </c>
      <c r="G92" t="s">
        <v>155</v>
      </c>
      <c r="H92" t="s">
        <v>118</v>
      </c>
      <c r="I92" t="s">
        <v>156</v>
      </c>
      <c r="J92">
        <v>116</v>
      </c>
      <c r="K92">
        <v>140</v>
      </c>
      <c r="L92">
        <f t="shared" si="8"/>
        <v>24</v>
      </c>
      <c r="M92">
        <v>24</v>
      </c>
      <c r="N92">
        <f t="shared" si="13"/>
        <v>0</v>
      </c>
      <c r="O92">
        <v>24</v>
      </c>
      <c r="S92">
        <v>3</v>
      </c>
      <c r="T92" s="3">
        <f t="shared" si="9"/>
        <v>27</v>
      </c>
      <c r="U92" s="3" t="str">
        <f t="shared" si="10"/>
        <v>USTED ESTÁ AL DÍA</v>
      </c>
      <c r="V92" s="3" t="s">
        <v>27</v>
      </c>
      <c r="W92">
        <v>30</v>
      </c>
      <c r="Y92">
        <f t="shared" si="11"/>
        <v>57</v>
      </c>
    </row>
    <row r="93" spans="1:25" ht="15.75" hidden="1" customHeight="1" x14ac:dyDescent="0.35">
      <c r="A93" s="3">
        <v>16987</v>
      </c>
      <c r="B93" s="3" t="s">
        <v>23</v>
      </c>
      <c r="C93" s="2">
        <v>46179</v>
      </c>
      <c r="D93" s="2">
        <v>46174</v>
      </c>
      <c r="E93" s="2">
        <v>46122</v>
      </c>
      <c r="F93" s="2">
        <v>46152</v>
      </c>
      <c r="G93" t="s">
        <v>157</v>
      </c>
      <c r="H93" t="s">
        <v>118</v>
      </c>
      <c r="I93" t="s">
        <v>158</v>
      </c>
      <c r="J93">
        <v>3613</v>
      </c>
      <c r="K93">
        <v>3635</v>
      </c>
      <c r="L93">
        <f t="shared" si="8"/>
        <v>22</v>
      </c>
      <c r="M93">
        <v>22</v>
      </c>
      <c r="N93">
        <f t="shared" si="13"/>
        <v>0</v>
      </c>
      <c r="O93">
        <v>22</v>
      </c>
      <c r="S93">
        <v>3</v>
      </c>
      <c r="T93" s="3">
        <f t="shared" si="9"/>
        <v>25</v>
      </c>
      <c r="U93" s="3" t="str">
        <f t="shared" si="10"/>
        <v>USTED ESTÁ AL DÍA</v>
      </c>
      <c r="V93" s="3" t="s">
        <v>27</v>
      </c>
      <c r="W93">
        <v>30</v>
      </c>
      <c r="X93">
        <v>50</v>
      </c>
      <c r="Y93">
        <f t="shared" si="11"/>
        <v>105</v>
      </c>
    </row>
    <row r="94" spans="1:25" ht="15.75" hidden="1" customHeight="1" x14ac:dyDescent="0.35">
      <c r="A94" s="3">
        <v>16988</v>
      </c>
      <c r="B94" s="3" t="s">
        <v>23</v>
      </c>
      <c r="C94" s="2">
        <v>46179</v>
      </c>
      <c r="D94" s="2">
        <v>46174</v>
      </c>
      <c r="E94" s="2">
        <v>46122</v>
      </c>
      <c r="F94" s="2">
        <v>46152</v>
      </c>
      <c r="G94" t="s">
        <v>159</v>
      </c>
      <c r="H94" t="s">
        <v>118</v>
      </c>
      <c r="I94" t="s">
        <v>59</v>
      </c>
      <c r="J94">
        <v>710</v>
      </c>
      <c r="K94">
        <v>718</v>
      </c>
      <c r="L94">
        <f t="shared" si="8"/>
        <v>8</v>
      </c>
      <c r="M94">
        <v>8</v>
      </c>
      <c r="N94">
        <f t="shared" si="13"/>
        <v>0</v>
      </c>
      <c r="O94">
        <v>8</v>
      </c>
      <c r="S94">
        <v>3</v>
      </c>
      <c r="T94" s="3">
        <f t="shared" si="9"/>
        <v>11</v>
      </c>
      <c r="U94" s="3" t="str">
        <f t="shared" si="10"/>
        <v>USTED ESTÁ AL DÍA</v>
      </c>
      <c r="V94" s="3" t="s">
        <v>27</v>
      </c>
      <c r="Y94">
        <f t="shared" si="11"/>
        <v>11</v>
      </c>
    </row>
    <row r="95" spans="1:25" ht="15.75" hidden="1" customHeight="1" x14ac:dyDescent="0.35">
      <c r="A95" s="3">
        <v>16989</v>
      </c>
      <c r="B95" s="3" t="s">
        <v>23</v>
      </c>
      <c r="C95" s="2">
        <v>46179</v>
      </c>
      <c r="D95" s="2">
        <v>46174</v>
      </c>
      <c r="E95" s="2">
        <v>46122</v>
      </c>
      <c r="F95" s="2">
        <v>46152</v>
      </c>
      <c r="G95" t="s">
        <v>160</v>
      </c>
      <c r="H95" t="s">
        <v>118</v>
      </c>
      <c r="I95" t="s">
        <v>161</v>
      </c>
      <c r="J95">
        <v>8</v>
      </c>
      <c r="K95">
        <v>14</v>
      </c>
      <c r="L95">
        <f t="shared" si="8"/>
        <v>6</v>
      </c>
      <c r="M95">
        <v>6</v>
      </c>
      <c r="N95">
        <f t="shared" si="13"/>
        <v>0</v>
      </c>
      <c r="O95">
        <v>6</v>
      </c>
      <c r="R95">
        <v>25</v>
      </c>
      <c r="S95">
        <v>3</v>
      </c>
      <c r="T95" s="3">
        <f t="shared" si="9"/>
        <v>34</v>
      </c>
      <c r="U95" s="3" t="str">
        <f t="shared" si="10"/>
        <v>USTED ESTÁ AL DÍA</v>
      </c>
      <c r="V95" s="3" t="s">
        <v>27</v>
      </c>
      <c r="W95">
        <v>30</v>
      </c>
      <c r="Y95">
        <f t="shared" si="11"/>
        <v>64</v>
      </c>
    </row>
    <row r="96" spans="1:25" ht="15.75" hidden="1" customHeight="1" x14ac:dyDescent="0.35">
      <c r="A96" s="3">
        <v>16990</v>
      </c>
      <c r="B96" s="3" t="s">
        <v>23</v>
      </c>
      <c r="C96" s="2">
        <v>46179</v>
      </c>
      <c r="D96" s="2">
        <v>46174</v>
      </c>
      <c r="E96" s="2">
        <v>46122</v>
      </c>
      <c r="F96" s="2">
        <v>46152</v>
      </c>
      <c r="G96" t="s">
        <v>162</v>
      </c>
      <c r="H96" t="s">
        <v>118</v>
      </c>
      <c r="I96" t="s">
        <v>163</v>
      </c>
      <c r="J96">
        <v>363</v>
      </c>
      <c r="K96">
        <v>377</v>
      </c>
      <c r="L96">
        <f t="shared" si="8"/>
        <v>14</v>
      </c>
      <c r="M96">
        <v>14</v>
      </c>
      <c r="N96">
        <f t="shared" si="13"/>
        <v>0</v>
      </c>
      <c r="O96">
        <v>14</v>
      </c>
      <c r="S96">
        <v>3</v>
      </c>
      <c r="T96" s="3">
        <f t="shared" si="9"/>
        <v>17</v>
      </c>
      <c r="U96" s="3" t="str">
        <f t="shared" si="10"/>
        <v>USTED ESTÁ AL DÍA</v>
      </c>
      <c r="V96" s="3" t="s">
        <v>27</v>
      </c>
      <c r="W96">
        <v>30</v>
      </c>
      <c r="X96">
        <v>50</v>
      </c>
      <c r="Y96">
        <f t="shared" si="11"/>
        <v>97</v>
      </c>
    </row>
    <row r="97" spans="1:25" ht="15.75" hidden="1" customHeight="1" x14ac:dyDescent="0.35">
      <c r="A97" s="3">
        <v>16991</v>
      </c>
      <c r="B97" s="3" t="s">
        <v>23</v>
      </c>
      <c r="C97" s="2">
        <v>46179</v>
      </c>
      <c r="D97" s="2">
        <v>46174</v>
      </c>
      <c r="E97" s="2">
        <v>46122</v>
      </c>
      <c r="F97" s="2">
        <v>46152</v>
      </c>
      <c r="G97" t="s">
        <v>164</v>
      </c>
      <c r="H97" t="s">
        <v>118</v>
      </c>
      <c r="I97" t="s">
        <v>165</v>
      </c>
      <c r="J97">
        <v>28</v>
      </c>
      <c r="K97">
        <v>32</v>
      </c>
      <c r="L97">
        <f t="shared" si="8"/>
        <v>4</v>
      </c>
      <c r="M97">
        <v>5</v>
      </c>
      <c r="O97">
        <v>5</v>
      </c>
      <c r="S97">
        <v>3</v>
      </c>
      <c r="T97" s="3">
        <f t="shared" si="9"/>
        <v>8</v>
      </c>
      <c r="U97" s="3" t="str">
        <f t="shared" si="10"/>
        <v>USTED ESTÁ AL DÍA</v>
      </c>
      <c r="V97" s="3" t="s">
        <v>27</v>
      </c>
      <c r="W97">
        <v>30</v>
      </c>
      <c r="Y97">
        <f t="shared" si="11"/>
        <v>38</v>
      </c>
    </row>
    <row r="98" spans="1:25" ht="15.75" hidden="1" customHeight="1" x14ac:dyDescent="0.35">
      <c r="A98" s="3">
        <v>16992</v>
      </c>
      <c r="B98" s="3" t="s">
        <v>23</v>
      </c>
      <c r="C98" s="2">
        <v>46179</v>
      </c>
      <c r="D98" s="2">
        <v>46174</v>
      </c>
      <c r="E98" s="2">
        <v>46122</v>
      </c>
      <c r="F98" s="2">
        <v>46152</v>
      </c>
      <c r="G98" t="s">
        <v>166</v>
      </c>
      <c r="H98" t="s">
        <v>118</v>
      </c>
      <c r="I98" t="s">
        <v>167</v>
      </c>
      <c r="J98">
        <v>22</v>
      </c>
      <c r="K98">
        <v>28</v>
      </c>
      <c r="L98">
        <f t="shared" si="8"/>
        <v>6</v>
      </c>
      <c r="M98">
        <v>6</v>
      </c>
      <c r="N98">
        <f>IF(L98&lt;&gt;M98,1,0)</f>
        <v>0</v>
      </c>
      <c r="O98">
        <v>6</v>
      </c>
      <c r="S98">
        <v>3</v>
      </c>
      <c r="T98" s="3">
        <f t="shared" si="9"/>
        <v>9</v>
      </c>
      <c r="U98" s="3" t="str">
        <f t="shared" si="10"/>
        <v>USTED ESTÁ AL DÍA</v>
      </c>
      <c r="V98" s="3" t="s">
        <v>27</v>
      </c>
      <c r="W98">
        <v>50</v>
      </c>
      <c r="X98">
        <v>75</v>
      </c>
      <c r="Y98">
        <f t="shared" si="11"/>
        <v>134</v>
      </c>
    </row>
    <row r="99" spans="1:25" ht="15.75" hidden="1" customHeight="1" x14ac:dyDescent="0.35">
      <c r="A99" s="3">
        <v>16993</v>
      </c>
      <c r="B99" s="3" t="s">
        <v>23</v>
      </c>
      <c r="C99" s="2">
        <v>46179</v>
      </c>
      <c r="D99" s="2">
        <v>46174</v>
      </c>
      <c r="E99" s="2">
        <v>46122</v>
      </c>
      <c r="F99" s="2">
        <v>46152</v>
      </c>
      <c r="G99" t="s">
        <v>168</v>
      </c>
      <c r="H99" t="s">
        <v>118</v>
      </c>
      <c r="I99" t="s">
        <v>169</v>
      </c>
      <c r="J99">
        <v>304</v>
      </c>
      <c r="K99">
        <v>310</v>
      </c>
      <c r="L99">
        <f t="shared" si="8"/>
        <v>6</v>
      </c>
      <c r="M99">
        <v>6</v>
      </c>
      <c r="N99">
        <f>IF(L99&lt;&gt;M99,1,0)</f>
        <v>0</v>
      </c>
      <c r="O99">
        <v>6</v>
      </c>
      <c r="S99">
        <v>3</v>
      </c>
      <c r="T99" s="3">
        <f t="shared" si="9"/>
        <v>9</v>
      </c>
      <c r="U99" s="3" t="str">
        <f t="shared" si="10"/>
        <v>USTED ESTÁ AL DÍA</v>
      </c>
      <c r="V99" s="3" t="s">
        <v>27</v>
      </c>
      <c r="X99">
        <v>50</v>
      </c>
      <c r="Y99">
        <f t="shared" si="11"/>
        <v>59</v>
      </c>
    </row>
    <row r="100" spans="1:25" ht="15.75" hidden="1" customHeight="1" x14ac:dyDescent="0.35">
      <c r="A100" s="3">
        <v>16994</v>
      </c>
      <c r="B100" s="3" t="s">
        <v>23</v>
      </c>
      <c r="C100" s="2">
        <v>46179</v>
      </c>
      <c r="D100" s="2">
        <v>46174</v>
      </c>
      <c r="E100" s="2">
        <v>46122</v>
      </c>
      <c r="F100" s="2">
        <v>46152</v>
      </c>
      <c r="G100" t="s">
        <v>170</v>
      </c>
      <c r="H100" t="s">
        <v>118</v>
      </c>
      <c r="I100" t="s">
        <v>171</v>
      </c>
      <c r="J100">
        <v>341</v>
      </c>
      <c r="K100">
        <v>351</v>
      </c>
      <c r="L100">
        <f t="shared" si="8"/>
        <v>10</v>
      </c>
      <c r="M100">
        <v>10</v>
      </c>
      <c r="N100">
        <f>IF(L100&lt;&gt;M100,1,0)</f>
        <v>0</v>
      </c>
      <c r="O100">
        <v>10</v>
      </c>
      <c r="S100">
        <v>3</v>
      </c>
      <c r="T100" s="3">
        <f t="shared" si="9"/>
        <v>13</v>
      </c>
      <c r="U100" s="3" t="str">
        <f t="shared" si="10"/>
        <v>USTED ESTÁ AL DÍA</v>
      </c>
      <c r="V100" s="3" t="s">
        <v>27</v>
      </c>
      <c r="W100">
        <v>50</v>
      </c>
      <c r="X100">
        <v>50</v>
      </c>
      <c r="Y100">
        <f t="shared" si="11"/>
        <v>113</v>
      </c>
    </row>
    <row r="101" spans="1:25" ht="15.75" hidden="1" customHeight="1" x14ac:dyDescent="0.35">
      <c r="A101" s="3">
        <v>16995</v>
      </c>
      <c r="B101" s="3" t="s">
        <v>23</v>
      </c>
      <c r="C101" s="2">
        <v>46179</v>
      </c>
      <c r="D101" s="2">
        <v>46174</v>
      </c>
      <c r="E101" s="2">
        <v>46122</v>
      </c>
      <c r="F101" s="2">
        <v>46152</v>
      </c>
      <c r="G101" t="s">
        <v>172</v>
      </c>
      <c r="H101" t="s">
        <v>118</v>
      </c>
      <c r="I101" t="s">
        <v>173</v>
      </c>
      <c r="J101">
        <v>530</v>
      </c>
      <c r="K101">
        <v>539</v>
      </c>
      <c r="L101">
        <f t="shared" si="8"/>
        <v>9</v>
      </c>
      <c r="M101">
        <v>9</v>
      </c>
      <c r="N101">
        <f>IF(L101&lt;&gt;M101,1,0)</f>
        <v>0</v>
      </c>
      <c r="O101">
        <v>9</v>
      </c>
      <c r="S101">
        <v>3</v>
      </c>
      <c r="T101" s="3">
        <f t="shared" si="9"/>
        <v>12</v>
      </c>
      <c r="U101" s="3" t="str">
        <f t="shared" si="10"/>
        <v>USTED ESTÁ AL DÍA</v>
      </c>
      <c r="V101" s="3" t="s">
        <v>27</v>
      </c>
      <c r="Y101">
        <f t="shared" si="11"/>
        <v>12</v>
      </c>
    </row>
    <row r="102" spans="1:25" ht="15.75" hidden="1" customHeight="1" x14ac:dyDescent="0.35">
      <c r="A102" s="3">
        <v>16996</v>
      </c>
      <c r="B102" s="3" t="s">
        <v>23</v>
      </c>
      <c r="C102" s="2">
        <v>46179</v>
      </c>
      <c r="D102" s="2">
        <v>46174</v>
      </c>
      <c r="E102" s="2">
        <v>46122</v>
      </c>
      <c r="F102" s="2">
        <v>46152</v>
      </c>
      <c r="G102" t="s">
        <v>174</v>
      </c>
      <c r="H102" t="s">
        <v>118</v>
      </c>
      <c r="I102" t="s">
        <v>31</v>
      </c>
      <c r="L102">
        <f t="shared" si="8"/>
        <v>0</v>
      </c>
      <c r="S102">
        <v>0</v>
      </c>
      <c r="T102" s="3">
        <f t="shared" si="9"/>
        <v>0</v>
      </c>
      <c r="U102" s="3" t="str">
        <f t="shared" si="10"/>
        <v>USTED ESTÁ AL DÍA</v>
      </c>
      <c r="V102" s="3" t="s">
        <v>27</v>
      </c>
      <c r="W102">
        <v>50</v>
      </c>
      <c r="X102">
        <v>50</v>
      </c>
      <c r="Y102">
        <f t="shared" si="11"/>
        <v>100</v>
      </c>
    </row>
    <row r="103" spans="1:25" ht="15.75" hidden="1" customHeight="1" x14ac:dyDescent="0.35">
      <c r="A103" s="3">
        <v>16997</v>
      </c>
      <c r="B103" s="3" t="s">
        <v>23</v>
      </c>
      <c r="C103" s="2">
        <v>46179</v>
      </c>
      <c r="D103" s="2">
        <v>46174</v>
      </c>
      <c r="E103" s="2">
        <v>46122</v>
      </c>
      <c r="F103" s="2">
        <v>46152</v>
      </c>
      <c r="G103" t="s">
        <v>175</v>
      </c>
      <c r="H103" t="s">
        <v>118</v>
      </c>
      <c r="I103" t="s">
        <v>45</v>
      </c>
      <c r="L103">
        <f t="shared" si="8"/>
        <v>0</v>
      </c>
      <c r="S103">
        <v>0</v>
      </c>
      <c r="T103" s="3">
        <f t="shared" si="9"/>
        <v>0</v>
      </c>
      <c r="U103" s="3" t="str">
        <f t="shared" si="10"/>
        <v>USTED ESTÁ AL DÍA</v>
      </c>
      <c r="V103" s="3" t="s">
        <v>27</v>
      </c>
      <c r="W103">
        <v>50</v>
      </c>
      <c r="X103">
        <v>75</v>
      </c>
      <c r="Y103">
        <f t="shared" si="11"/>
        <v>125</v>
      </c>
    </row>
    <row r="104" spans="1:25" ht="15.75" hidden="1" customHeight="1" x14ac:dyDescent="0.35">
      <c r="A104" s="3">
        <v>16998</v>
      </c>
      <c r="B104" s="3" t="s">
        <v>23</v>
      </c>
      <c r="C104" s="2">
        <v>46179</v>
      </c>
      <c r="D104" s="2">
        <v>46174</v>
      </c>
      <c r="E104" s="2">
        <v>46122</v>
      </c>
      <c r="F104" s="2">
        <v>46152</v>
      </c>
      <c r="G104" t="s">
        <v>176</v>
      </c>
      <c r="H104" t="s">
        <v>118</v>
      </c>
      <c r="I104" t="s">
        <v>93</v>
      </c>
      <c r="L104">
        <f t="shared" si="8"/>
        <v>0</v>
      </c>
      <c r="S104">
        <v>0</v>
      </c>
      <c r="T104" s="3">
        <f t="shared" si="9"/>
        <v>0</v>
      </c>
      <c r="U104" s="3" t="str">
        <f t="shared" si="10"/>
        <v>USTED ESTÁ AL DÍA</v>
      </c>
      <c r="V104" s="3" t="s">
        <v>27</v>
      </c>
      <c r="W104">
        <v>50</v>
      </c>
      <c r="Y104">
        <f t="shared" si="11"/>
        <v>50</v>
      </c>
    </row>
    <row r="105" spans="1:25" ht="15.75" hidden="1" customHeight="1" x14ac:dyDescent="0.35">
      <c r="A105" s="3">
        <v>16999</v>
      </c>
      <c r="B105" s="3" t="s">
        <v>23</v>
      </c>
      <c r="C105" s="2">
        <v>46179</v>
      </c>
      <c r="D105" s="2">
        <v>46174</v>
      </c>
      <c r="E105" s="2">
        <v>46122</v>
      </c>
      <c r="F105" s="2">
        <v>46152</v>
      </c>
      <c r="G105" t="s">
        <v>177</v>
      </c>
      <c r="H105" t="s">
        <v>118</v>
      </c>
      <c r="I105" t="s">
        <v>178</v>
      </c>
      <c r="L105">
        <f t="shared" si="8"/>
        <v>0</v>
      </c>
      <c r="S105">
        <v>0</v>
      </c>
      <c r="T105" s="3">
        <f t="shared" si="9"/>
        <v>0</v>
      </c>
      <c r="U105" s="3" t="str">
        <f t="shared" si="10"/>
        <v>USTED ESTÁ AL DÍA</v>
      </c>
      <c r="V105" s="3" t="s">
        <v>27</v>
      </c>
      <c r="W105">
        <v>50</v>
      </c>
      <c r="Y105">
        <f t="shared" si="11"/>
        <v>50</v>
      </c>
    </row>
    <row r="106" spans="1:25" ht="15.75" hidden="1" customHeight="1" x14ac:dyDescent="0.35">
      <c r="A106" s="3">
        <v>17000</v>
      </c>
      <c r="B106" s="3" t="s">
        <v>23</v>
      </c>
      <c r="C106" s="2">
        <v>46179</v>
      </c>
      <c r="D106" s="2">
        <v>46174</v>
      </c>
      <c r="E106" s="2">
        <v>46122</v>
      </c>
      <c r="F106" s="2">
        <v>46152</v>
      </c>
      <c r="G106" t="s">
        <v>179</v>
      </c>
      <c r="H106" t="s">
        <v>118</v>
      </c>
      <c r="I106" t="s">
        <v>180</v>
      </c>
      <c r="L106">
        <f t="shared" si="8"/>
        <v>0</v>
      </c>
      <c r="S106">
        <v>0</v>
      </c>
      <c r="T106" s="3">
        <f t="shared" si="9"/>
        <v>0</v>
      </c>
      <c r="U106" s="3" t="str">
        <f t="shared" si="10"/>
        <v>USTED ESTÁ AL DÍA</v>
      </c>
      <c r="V106" s="3" t="s">
        <v>27</v>
      </c>
      <c r="W106">
        <v>50</v>
      </c>
      <c r="X106">
        <v>25</v>
      </c>
      <c r="Y106">
        <f t="shared" si="11"/>
        <v>75</v>
      </c>
    </row>
    <row r="107" spans="1:25" ht="15.75" hidden="1" customHeight="1" x14ac:dyDescent="0.35">
      <c r="A107" s="3">
        <v>17001</v>
      </c>
      <c r="B107" s="3" t="s">
        <v>23</v>
      </c>
      <c r="C107" s="2">
        <v>46179</v>
      </c>
      <c r="D107" s="2">
        <v>46174</v>
      </c>
      <c r="E107" s="2">
        <v>46122</v>
      </c>
      <c r="F107" s="2">
        <v>46152</v>
      </c>
      <c r="G107" t="s">
        <v>181</v>
      </c>
      <c r="H107" t="s">
        <v>118</v>
      </c>
      <c r="I107" t="s">
        <v>182</v>
      </c>
      <c r="L107">
        <f t="shared" si="8"/>
        <v>0</v>
      </c>
      <c r="S107">
        <v>0</v>
      </c>
      <c r="T107" s="3">
        <f t="shared" si="9"/>
        <v>0</v>
      </c>
      <c r="U107" s="3" t="str">
        <f t="shared" si="10"/>
        <v>USTED ESTÁ AL DÍA</v>
      </c>
      <c r="V107" s="3" t="s">
        <v>27</v>
      </c>
      <c r="W107">
        <v>20</v>
      </c>
      <c r="Y107">
        <f t="shared" si="11"/>
        <v>20</v>
      </c>
    </row>
    <row r="108" spans="1:25" ht="15.75" hidden="1" customHeight="1" x14ac:dyDescent="0.35">
      <c r="A108" s="3">
        <v>17002</v>
      </c>
      <c r="B108" s="3" t="s">
        <v>23</v>
      </c>
      <c r="C108" s="2">
        <v>46179</v>
      </c>
      <c r="D108" s="2">
        <v>46174</v>
      </c>
      <c r="E108" s="2">
        <v>46122</v>
      </c>
      <c r="F108" s="2">
        <v>46152</v>
      </c>
      <c r="G108" t="s">
        <v>183</v>
      </c>
      <c r="H108" t="s">
        <v>118</v>
      </c>
      <c r="I108" t="s">
        <v>184</v>
      </c>
      <c r="L108">
        <f t="shared" si="8"/>
        <v>0</v>
      </c>
      <c r="S108">
        <v>0</v>
      </c>
      <c r="T108" s="3">
        <f t="shared" si="9"/>
        <v>0</v>
      </c>
      <c r="U108" s="3" t="str">
        <f t="shared" si="10"/>
        <v>USTED ESTÁ AL DÍA</v>
      </c>
      <c r="V108" s="3" t="s">
        <v>27</v>
      </c>
      <c r="W108">
        <v>50</v>
      </c>
      <c r="Y108">
        <f t="shared" si="11"/>
        <v>50</v>
      </c>
    </row>
    <row r="109" spans="1:25" ht="15.75" hidden="1" customHeight="1" x14ac:dyDescent="0.35">
      <c r="A109" s="3">
        <v>17003</v>
      </c>
      <c r="B109" s="3" t="s">
        <v>23</v>
      </c>
      <c r="C109" s="2">
        <v>46179</v>
      </c>
      <c r="D109" s="2">
        <v>46174</v>
      </c>
      <c r="E109" s="2">
        <v>46122</v>
      </c>
      <c r="F109" s="2">
        <v>46152</v>
      </c>
      <c r="G109" t="s">
        <v>185</v>
      </c>
      <c r="H109" t="s">
        <v>118</v>
      </c>
      <c r="I109" t="s">
        <v>186</v>
      </c>
      <c r="L109">
        <f t="shared" si="8"/>
        <v>0</v>
      </c>
      <c r="S109">
        <v>0</v>
      </c>
      <c r="T109" s="3">
        <f t="shared" si="9"/>
        <v>0</v>
      </c>
      <c r="U109" s="3" t="str">
        <f t="shared" si="10"/>
        <v>USTED ESTÁ AL DÍA</v>
      </c>
      <c r="V109" s="3" t="s">
        <v>27</v>
      </c>
      <c r="W109">
        <v>30</v>
      </c>
      <c r="Y109">
        <f t="shared" si="11"/>
        <v>30</v>
      </c>
    </row>
    <row r="110" spans="1:25" ht="15.75" customHeight="1" x14ac:dyDescent="0.35">
      <c r="A110" s="3">
        <v>17004</v>
      </c>
      <c r="B110" s="3" t="s">
        <v>23</v>
      </c>
      <c r="C110" s="2">
        <v>46179</v>
      </c>
      <c r="D110" s="2">
        <v>46174</v>
      </c>
      <c r="E110" s="2">
        <v>46122</v>
      </c>
      <c r="F110" s="2">
        <v>46152</v>
      </c>
      <c r="G110" t="s">
        <v>187</v>
      </c>
      <c r="H110" t="s">
        <v>188</v>
      </c>
      <c r="I110" t="s">
        <v>26</v>
      </c>
      <c r="J110">
        <v>1944</v>
      </c>
      <c r="K110">
        <v>1954</v>
      </c>
      <c r="L110">
        <f t="shared" si="8"/>
        <v>10</v>
      </c>
      <c r="M110">
        <v>10</v>
      </c>
      <c r="N110">
        <f>IF(L110&lt;&gt;M110,1,0)</f>
        <v>0</v>
      </c>
      <c r="O110">
        <v>10</v>
      </c>
      <c r="S110">
        <v>3</v>
      </c>
      <c r="T110" s="3">
        <f t="shared" si="9"/>
        <v>13</v>
      </c>
      <c r="U110" s="3" t="str">
        <f t="shared" si="10"/>
        <v>USTED ESTÁ AL DÍA</v>
      </c>
      <c r="V110" s="3" t="s">
        <v>27</v>
      </c>
      <c r="W110">
        <v>50</v>
      </c>
      <c r="X110">
        <v>50</v>
      </c>
      <c r="Y110">
        <f t="shared" si="11"/>
        <v>113</v>
      </c>
    </row>
    <row r="111" spans="1:25" ht="15.75" customHeight="1" x14ac:dyDescent="0.35">
      <c r="A111" s="3">
        <v>17005</v>
      </c>
      <c r="B111" s="3" t="s">
        <v>23</v>
      </c>
      <c r="C111" s="2">
        <v>46179</v>
      </c>
      <c r="D111" s="2">
        <v>46174</v>
      </c>
      <c r="E111" s="2">
        <v>46122</v>
      </c>
      <c r="F111" s="2">
        <v>46152</v>
      </c>
      <c r="G111" t="s">
        <v>189</v>
      </c>
      <c r="H111" t="s">
        <v>188</v>
      </c>
      <c r="I111" t="s">
        <v>31</v>
      </c>
      <c r="J111">
        <v>417</v>
      </c>
      <c r="K111">
        <v>423</v>
      </c>
      <c r="L111">
        <f t="shared" si="8"/>
        <v>6</v>
      </c>
      <c r="M111">
        <v>6</v>
      </c>
      <c r="N111">
        <f>IF(L111&lt;&gt;M111,1,0)</f>
        <v>0</v>
      </c>
      <c r="O111">
        <v>6</v>
      </c>
      <c r="S111">
        <v>3</v>
      </c>
      <c r="T111" s="3">
        <f t="shared" si="9"/>
        <v>9</v>
      </c>
      <c r="U111" s="3" t="str">
        <f t="shared" si="10"/>
        <v>USTED ESTÁ AL DÍA</v>
      </c>
      <c r="V111" s="3" t="s">
        <v>27</v>
      </c>
      <c r="W111">
        <v>20</v>
      </c>
      <c r="X111">
        <v>75</v>
      </c>
      <c r="Y111">
        <f t="shared" si="11"/>
        <v>104</v>
      </c>
    </row>
    <row r="112" spans="1:25" ht="15.75" customHeight="1" x14ac:dyDescent="0.35">
      <c r="A112" s="3">
        <v>17006</v>
      </c>
      <c r="B112" s="3" t="s">
        <v>23</v>
      </c>
      <c r="C112" s="2">
        <v>46179</v>
      </c>
      <c r="D112" s="2">
        <v>46174</v>
      </c>
      <c r="E112" s="2">
        <v>46122</v>
      </c>
      <c r="F112" s="2">
        <v>46152</v>
      </c>
      <c r="G112" t="s">
        <v>190</v>
      </c>
      <c r="H112" t="s">
        <v>188</v>
      </c>
      <c r="I112" t="s">
        <v>33</v>
      </c>
      <c r="J112">
        <v>576</v>
      </c>
      <c r="K112">
        <v>577</v>
      </c>
      <c r="L112">
        <f t="shared" si="8"/>
        <v>1</v>
      </c>
      <c r="M112">
        <v>5</v>
      </c>
      <c r="O112">
        <v>5</v>
      </c>
      <c r="S112">
        <v>3</v>
      </c>
      <c r="T112" s="3">
        <f t="shared" si="9"/>
        <v>8</v>
      </c>
      <c r="U112" s="3" t="str">
        <f t="shared" si="10"/>
        <v>USTED ESTÁ AL DÍA</v>
      </c>
      <c r="V112" s="3" t="s">
        <v>27</v>
      </c>
      <c r="Y112">
        <f t="shared" si="11"/>
        <v>8</v>
      </c>
    </row>
    <row r="113" spans="1:25" ht="15.75" customHeight="1" x14ac:dyDescent="0.35">
      <c r="A113" s="3">
        <v>17007</v>
      </c>
      <c r="B113" s="3" t="s">
        <v>23</v>
      </c>
      <c r="C113" s="2">
        <v>46179</v>
      </c>
      <c r="D113" s="2">
        <v>46174</v>
      </c>
      <c r="E113" s="2">
        <v>46122</v>
      </c>
      <c r="F113" s="2">
        <v>46152</v>
      </c>
      <c r="G113" t="s">
        <v>191</v>
      </c>
      <c r="H113" t="s">
        <v>188</v>
      </c>
      <c r="I113" t="s">
        <v>35</v>
      </c>
      <c r="J113">
        <v>98</v>
      </c>
      <c r="K113">
        <v>103</v>
      </c>
      <c r="L113">
        <f t="shared" si="8"/>
        <v>5</v>
      </c>
      <c r="M113">
        <v>5</v>
      </c>
      <c r="O113">
        <v>5</v>
      </c>
      <c r="S113">
        <v>3</v>
      </c>
      <c r="T113" s="3">
        <f t="shared" si="9"/>
        <v>8</v>
      </c>
      <c r="U113" s="3" t="str">
        <f t="shared" si="10"/>
        <v>USTED ESTÁ AL DÍA</v>
      </c>
      <c r="V113" s="3" t="s">
        <v>27</v>
      </c>
      <c r="W113">
        <v>20</v>
      </c>
      <c r="Y113">
        <f t="shared" si="11"/>
        <v>28</v>
      </c>
    </row>
    <row r="114" spans="1:25" ht="15.75" customHeight="1" x14ac:dyDescent="0.35">
      <c r="A114" s="3">
        <v>17008</v>
      </c>
      <c r="B114" s="3" t="s">
        <v>23</v>
      </c>
      <c r="C114" s="2">
        <v>46179</v>
      </c>
      <c r="D114" s="2">
        <v>46174</v>
      </c>
      <c r="E114" s="2">
        <v>46122</v>
      </c>
      <c r="F114" s="2">
        <v>46152</v>
      </c>
      <c r="G114" t="s">
        <v>192</v>
      </c>
      <c r="H114" t="s">
        <v>188</v>
      </c>
      <c r="I114" t="s">
        <v>37</v>
      </c>
      <c r="J114">
        <v>925</v>
      </c>
      <c r="K114">
        <v>930</v>
      </c>
      <c r="L114">
        <f t="shared" si="8"/>
        <v>5</v>
      </c>
      <c r="M114">
        <v>5</v>
      </c>
      <c r="O114">
        <v>5</v>
      </c>
      <c r="S114">
        <v>3</v>
      </c>
      <c r="T114" s="3">
        <f t="shared" si="9"/>
        <v>8</v>
      </c>
      <c r="U114" s="3" t="str">
        <f t="shared" si="10"/>
        <v>USTED ESTÁ AL DÍA</v>
      </c>
      <c r="V114" s="3" t="s">
        <v>27</v>
      </c>
      <c r="X114">
        <v>75</v>
      </c>
      <c r="Y114">
        <f t="shared" si="11"/>
        <v>83</v>
      </c>
    </row>
    <row r="115" spans="1:25" ht="15.75" customHeight="1" x14ac:dyDescent="0.35">
      <c r="A115" s="3">
        <v>17009</v>
      </c>
      <c r="B115" s="3" t="s">
        <v>23</v>
      </c>
      <c r="C115" s="2">
        <v>46179</v>
      </c>
      <c r="D115" s="2">
        <v>46174</v>
      </c>
      <c r="E115" s="2">
        <v>46122</v>
      </c>
      <c r="F115" s="2">
        <v>46152</v>
      </c>
      <c r="G115" t="s">
        <v>193</v>
      </c>
      <c r="H115" t="s">
        <v>188</v>
      </c>
      <c r="I115" t="s">
        <v>39</v>
      </c>
      <c r="J115">
        <v>306</v>
      </c>
      <c r="K115">
        <v>322</v>
      </c>
      <c r="L115">
        <f t="shared" si="8"/>
        <v>16</v>
      </c>
      <c r="M115">
        <v>16</v>
      </c>
      <c r="N115">
        <f>IF(L115&lt;&gt;M115,1,0)</f>
        <v>0</v>
      </c>
      <c r="O115">
        <v>16</v>
      </c>
      <c r="S115">
        <v>3</v>
      </c>
      <c r="T115" s="3">
        <f t="shared" si="9"/>
        <v>19</v>
      </c>
      <c r="U115" s="3" t="str">
        <f t="shared" si="10"/>
        <v>USTED ESTÁ AL DÍA</v>
      </c>
      <c r="V115" s="3" t="s">
        <v>27</v>
      </c>
      <c r="X115">
        <v>75</v>
      </c>
      <c r="Y115">
        <f t="shared" si="11"/>
        <v>94</v>
      </c>
    </row>
    <row r="116" spans="1:25" ht="15.75" customHeight="1" x14ac:dyDescent="0.35">
      <c r="A116" s="3">
        <v>17010</v>
      </c>
      <c r="B116" s="3" t="s">
        <v>23</v>
      </c>
      <c r="C116" s="2">
        <v>46179</v>
      </c>
      <c r="D116" s="2">
        <v>46174</v>
      </c>
      <c r="E116" s="2">
        <v>46122</v>
      </c>
      <c r="F116" s="2">
        <v>46152</v>
      </c>
      <c r="G116" t="s">
        <v>194</v>
      </c>
      <c r="H116" t="s">
        <v>188</v>
      </c>
      <c r="I116" t="s">
        <v>41</v>
      </c>
      <c r="J116">
        <v>510</v>
      </c>
      <c r="K116">
        <v>520</v>
      </c>
      <c r="L116">
        <f t="shared" si="8"/>
        <v>10</v>
      </c>
      <c r="M116">
        <v>10</v>
      </c>
      <c r="N116">
        <f>IF(L116&lt;&gt;M116,1,0)</f>
        <v>0</v>
      </c>
      <c r="O116">
        <v>10</v>
      </c>
      <c r="S116">
        <v>3</v>
      </c>
      <c r="T116" s="3">
        <f t="shared" si="9"/>
        <v>13</v>
      </c>
      <c r="U116" s="3" t="str">
        <f t="shared" si="10"/>
        <v>USTED ESTÁ AL DÍA</v>
      </c>
      <c r="V116" s="3" t="s">
        <v>27</v>
      </c>
      <c r="X116">
        <v>50</v>
      </c>
      <c r="Y116">
        <f t="shared" si="11"/>
        <v>63</v>
      </c>
    </row>
    <row r="117" spans="1:25" ht="15.75" customHeight="1" x14ac:dyDescent="0.35">
      <c r="A117" s="3">
        <v>17011</v>
      </c>
      <c r="B117" s="3" t="s">
        <v>23</v>
      </c>
      <c r="C117" s="2">
        <v>46179</v>
      </c>
      <c r="D117" s="2">
        <v>46174</v>
      </c>
      <c r="E117" s="2">
        <v>46122</v>
      </c>
      <c r="F117" s="2">
        <v>46152</v>
      </c>
      <c r="G117" t="s">
        <v>195</v>
      </c>
      <c r="H117" t="s">
        <v>188</v>
      </c>
      <c r="I117" t="s">
        <v>68</v>
      </c>
      <c r="J117">
        <v>591</v>
      </c>
      <c r="K117">
        <v>600</v>
      </c>
      <c r="L117">
        <f t="shared" si="8"/>
        <v>9</v>
      </c>
      <c r="M117">
        <v>9</v>
      </c>
      <c r="N117">
        <f>IF(L117&lt;&gt;M117,1,0)</f>
        <v>0</v>
      </c>
      <c r="O117">
        <v>9</v>
      </c>
      <c r="S117">
        <v>3</v>
      </c>
      <c r="T117" s="3">
        <f t="shared" si="9"/>
        <v>12</v>
      </c>
      <c r="U117" s="3" t="str">
        <f t="shared" si="10"/>
        <v>USTED ESTÁ AL DÍA</v>
      </c>
      <c r="V117" s="3" t="s">
        <v>27</v>
      </c>
      <c r="Y117">
        <f t="shared" si="11"/>
        <v>12</v>
      </c>
    </row>
    <row r="118" spans="1:25" ht="15.75" customHeight="1" x14ac:dyDescent="0.35">
      <c r="A118" s="3">
        <v>17012</v>
      </c>
      <c r="B118" s="3" t="s">
        <v>23</v>
      </c>
      <c r="C118" s="2">
        <v>46179</v>
      </c>
      <c r="D118" s="2">
        <v>46174</v>
      </c>
      <c r="E118" s="2">
        <v>46122</v>
      </c>
      <c r="F118" s="2">
        <v>46152</v>
      </c>
      <c r="G118" t="s">
        <v>196</v>
      </c>
      <c r="H118" t="s">
        <v>188</v>
      </c>
      <c r="I118" t="s">
        <v>101</v>
      </c>
      <c r="J118">
        <v>131</v>
      </c>
      <c r="K118">
        <v>133</v>
      </c>
      <c r="L118">
        <f t="shared" si="8"/>
        <v>2</v>
      </c>
      <c r="M118">
        <v>5</v>
      </c>
      <c r="O118">
        <v>5</v>
      </c>
      <c r="S118">
        <v>3</v>
      </c>
      <c r="T118" s="3">
        <f t="shared" si="9"/>
        <v>8</v>
      </c>
      <c r="U118" s="3" t="str">
        <f t="shared" si="10"/>
        <v>USTED ESTÁ AL DÍA</v>
      </c>
      <c r="V118" s="3" t="s">
        <v>27</v>
      </c>
      <c r="W118">
        <v>50</v>
      </c>
      <c r="Y118">
        <f t="shared" si="11"/>
        <v>58</v>
      </c>
    </row>
    <row r="119" spans="1:25" ht="17" customHeight="1" x14ac:dyDescent="0.35">
      <c r="A119" s="3">
        <v>17013</v>
      </c>
      <c r="B119" s="3" t="s">
        <v>23</v>
      </c>
      <c r="C119" s="2">
        <v>46179</v>
      </c>
      <c r="D119" s="2">
        <v>46174</v>
      </c>
      <c r="E119" s="2">
        <v>46122</v>
      </c>
      <c r="F119" s="2">
        <v>46152</v>
      </c>
      <c r="G119" t="s">
        <v>197</v>
      </c>
      <c r="H119" t="s">
        <v>188</v>
      </c>
      <c r="I119" t="s">
        <v>29</v>
      </c>
      <c r="J119">
        <v>1</v>
      </c>
      <c r="K119">
        <v>1</v>
      </c>
      <c r="L119">
        <f t="shared" si="8"/>
        <v>0</v>
      </c>
      <c r="M119">
        <v>5</v>
      </c>
      <c r="O119">
        <v>5</v>
      </c>
      <c r="P119">
        <v>8</v>
      </c>
      <c r="S119">
        <v>3</v>
      </c>
      <c r="T119" s="3">
        <f t="shared" si="9"/>
        <v>16</v>
      </c>
      <c r="U119" s="3" t="str">
        <f t="shared" si="10"/>
        <v>USTED NO ESTÁ AL DÍA</v>
      </c>
      <c r="V119" s="3" t="s">
        <v>27</v>
      </c>
      <c r="W119">
        <v>50</v>
      </c>
      <c r="X119">
        <v>75</v>
      </c>
      <c r="Y119">
        <f t="shared" si="11"/>
        <v>141</v>
      </c>
    </row>
    <row r="120" spans="1:25" ht="13.5" customHeight="1" x14ac:dyDescent="0.35">
      <c r="A120" s="3">
        <v>17014</v>
      </c>
      <c r="B120" s="3" t="s">
        <v>23</v>
      </c>
      <c r="C120" s="2">
        <v>46179</v>
      </c>
      <c r="D120" s="2">
        <v>46174</v>
      </c>
      <c r="E120" s="2">
        <v>46122</v>
      </c>
      <c r="F120" s="2">
        <v>46152</v>
      </c>
      <c r="G120" t="s">
        <v>198</v>
      </c>
      <c r="H120" t="s">
        <v>188</v>
      </c>
      <c r="I120" t="s">
        <v>97</v>
      </c>
      <c r="J120">
        <v>684</v>
      </c>
      <c r="K120">
        <v>686</v>
      </c>
      <c r="L120">
        <f t="shared" si="8"/>
        <v>2</v>
      </c>
      <c r="M120">
        <v>5</v>
      </c>
      <c r="O120">
        <v>5</v>
      </c>
      <c r="P120">
        <v>8</v>
      </c>
      <c r="S120">
        <v>3</v>
      </c>
      <c r="T120" s="3">
        <f t="shared" si="9"/>
        <v>16</v>
      </c>
      <c r="U120" s="3" t="str">
        <f t="shared" si="10"/>
        <v>USTED NO ESTÁ AL DÍA</v>
      </c>
      <c r="V120" s="3" t="s">
        <v>27</v>
      </c>
      <c r="W120">
        <v>20</v>
      </c>
      <c r="Y120">
        <f t="shared" si="11"/>
        <v>36</v>
      </c>
    </row>
    <row r="121" spans="1:25" ht="16" customHeight="1" x14ac:dyDescent="0.35">
      <c r="A121" s="3">
        <v>17015</v>
      </c>
      <c r="B121" s="3" t="s">
        <v>23</v>
      </c>
      <c r="C121" s="2">
        <v>46179</v>
      </c>
      <c r="D121" s="2">
        <v>46174</v>
      </c>
      <c r="E121" s="2">
        <v>46122</v>
      </c>
      <c r="F121" s="2">
        <v>46152</v>
      </c>
      <c r="G121" t="s">
        <v>199</v>
      </c>
      <c r="H121" t="s">
        <v>188</v>
      </c>
      <c r="I121" t="s">
        <v>93</v>
      </c>
      <c r="J121">
        <v>411</v>
      </c>
      <c r="K121">
        <v>418</v>
      </c>
      <c r="L121">
        <f t="shared" si="8"/>
        <v>7</v>
      </c>
      <c r="M121">
        <v>7</v>
      </c>
      <c r="N121">
        <f>IF(L121&lt;&gt;M121,1,0)</f>
        <v>0</v>
      </c>
      <c r="O121">
        <v>7</v>
      </c>
      <c r="P121">
        <v>8.5</v>
      </c>
      <c r="S121">
        <v>3</v>
      </c>
      <c r="T121" s="3">
        <f t="shared" si="9"/>
        <v>18.5</v>
      </c>
      <c r="U121" s="3" t="str">
        <f t="shared" si="10"/>
        <v>USTED NO ESTÁ AL DÍA</v>
      </c>
      <c r="V121" s="3" t="s">
        <v>27</v>
      </c>
      <c r="W121">
        <v>30</v>
      </c>
      <c r="Y121">
        <f t="shared" si="11"/>
        <v>48.5</v>
      </c>
    </row>
    <row r="122" spans="1:25" ht="15.75" customHeight="1" x14ac:dyDescent="0.35">
      <c r="A122" s="3">
        <v>17016</v>
      </c>
      <c r="B122" s="3" t="s">
        <v>23</v>
      </c>
      <c r="C122" s="2">
        <v>46179</v>
      </c>
      <c r="D122" s="2">
        <v>46174</v>
      </c>
      <c r="E122" s="2">
        <v>46122</v>
      </c>
      <c r="F122" s="2">
        <v>46152</v>
      </c>
      <c r="G122" t="s">
        <v>199</v>
      </c>
      <c r="H122" t="s">
        <v>188</v>
      </c>
      <c r="I122" t="s">
        <v>43</v>
      </c>
      <c r="L122">
        <f t="shared" si="8"/>
        <v>0</v>
      </c>
      <c r="S122">
        <v>0</v>
      </c>
      <c r="T122" s="3">
        <f t="shared" si="9"/>
        <v>0</v>
      </c>
      <c r="U122" s="3" t="str">
        <f t="shared" si="10"/>
        <v>USTED ESTÁ AL DÍA</v>
      </c>
      <c r="V122" s="3" t="s">
        <v>27</v>
      </c>
      <c r="W122">
        <v>30</v>
      </c>
      <c r="Y122">
        <f t="shared" si="11"/>
        <v>30</v>
      </c>
    </row>
    <row r="123" spans="1:25" ht="15.75" hidden="1" customHeight="1" x14ac:dyDescent="0.35">
      <c r="A123" s="3">
        <v>17017</v>
      </c>
      <c r="B123" s="3" t="s">
        <v>23</v>
      </c>
      <c r="C123" s="2">
        <v>46179</v>
      </c>
      <c r="D123" s="2">
        <v>46174</v>
      </c>
      <c r="E123" s="2">
        <v>46122</v>
      </c>
      <c r="F123" s="2">
        <v>46152</v>
      </c>
      <c r="G123" t="s">
        <v>200</v>
      </c>
      <c r="H123" t="s">
        <v>201</v>
      </c>
      <c r="I123" t="s">
        <v>41</v>
      </c>
      <c r="J123">
        <v>29</v>
      </c>
      <c r="K123">
        <v>41</v>
      </c>
      <c r="L123">
        <f t="shared" si="8"/>
        <v>12</v>
      </c>
      <c r="M123">
        <v>12</v>
      </c>
      <c r="N123">
        <f t="shared" ref="N123:N139" si="14">IF(L123&lt;&gt;M123,1,0)</f>
        <v>0</v>
      </c>
      <c r="O123">
        <v>12</v>
      </c>
      <c r="P123">
        <v>15</v>
      </c>
      <c r="R123">
        <v>25</v>
      </c>
      <c r="S123">
        <v>3</v>
      </c>
      <c r="T123" s="3">
        <f t="shared" si="9"/>
        <v>55</v>
      </c>
      <c r="U123" s="3" t="str">
        <f t="shared" si="10"/>
        <v>USTED NO ESTÁ AL DÍA</v>
      </c>
      <c r="V123" s="3" t="s">
        <v>27</v>
      </c>
      <c r="W123">
        <v>70</v>
      </c>
      <c r="X123">
        <v>50</v>
      </c>
      <c r="Y123">
        <f t="shared" si="11"/>
        <v>175</v>
      </c>
    </row>
    <row r="124" spans="1:25" ht="15.75" hidden="1" customHeight="1" x14ac:dyDescent="0.35">
      <c r="A124" s="3">
        <v>17018</v>
      </c>
      <c r="B124" s="3" t="s">
        <v>23</v>
      </c>
      <c r="C124" s="2">
        <v>46179</v>
      </c>
      <c r="D124" s="2">
        <v>46174</v>
      </c>
      <c r="E124" s="2">
        <v>46122</v>
      </c>
      <c r="F124" s="2">
        <v>46152</v>
      </c>
      <c r="G124" t="s">
        <v>202</v>
      </c>
      <c r="H124" t="s">
        <v>201</v>
      </c>
      <c r="I124" t="s">
        <v>26</v>
      </c>
      <c r="J124">
        <v>23</v>
      </c>
      <c r="K124">
        <v>30</v>
      </c>
      <c r="L124">
        <f t="shared" si="8"/>
        <v>7</v>
      </c>
      <c r="M124">
        <v>7</v>
      </c>
      <c r="N124">
        <f t="shared" si="14"/>
        <v>0</v>
      </c>
      <c r="O124">
        <v>7</v>
      </c>
      <c r="R124">
        <v>25</v>
      </c>
      <c r="S124">
        <v>3</v>
      </c>
      <c r="T124" s="3">
        <f t="shared" si="9"/>
        <v>35</v>
      </c>
      <c r="U124" s="3" t="str">
        <f t="shared" si="10"/>
        <v>USTED ESTÁ AL DÍA</v>
      </c>
      <c r="V124" s="3" t="s">
        <v>27</v>
      </c>
      <c r="W124">
        <v>30</v>
      </c>
      <c r="X124">
        <v>50</v>
      </c>
      <c r="Y124">
        <f t="shared" si="11"/>
        <v>115</v>
      </c>
    </row>
    <row r="125" spans="1:25" ht="15.75" hidden="1" customHeight="1" x14ac:dyDescent="0.35">
      <c r="A125" s="3">
        <v>17019</v>
      </c>
      <c r="B125" s="3" t="s">
        <v>23</v>
      </c>
      <c r="C125" s="2">
        <v>46179</v>
      </c>
      <c r="D125" s="2">
        <v>46174</v>
      </c>
      <c r="E125" s="2">
        <v>46122</v>
      </c>
      <c r="F125" s="2">
        <v>46152</v>
      </c>
      <c r="G125" t="s">
        <v>203</v>
      </c>
      <c r="H125" t="s">
        <v>201</v>
      </c>
      <c r="I125" t="s">
        <v>29</v>
      </c>
      <c r="J125">
        <v>2315</v>
      </c>
      <c r="K125">
        <v>2332</v>
      </c>
      <c r="L125">
        <f t="shared" si="8"/>
        <v>17</v>
      </c>
      <c r="M125">
        <v>17</v>
      </c>
      <c r="N125">
        <f t="shared" si="14"/>
        <v>0</v>
      </c>
      <c r="O125">
        <v>17</v>
      </c>
      <c r="S125">
        <v>3</v>
      </c>
      <c r="T125" s="3">
        <f t="shared" si="9"/>
        <v>20</v>
      </c>
      <c r="U125" s="3" t="str">
        <f t="shared" si="10"/>
        <v>USTED ESTÁ AL DÍA</v>
      </c>
      <c r="V125" s="3" t="s">
        <v>27</v>
      </c>
      <c r="W125">
        <v>50</v>
      </c>
      <c r="X125">
        <v>75</v>
      </c>
      <c r="Y125">
        <f t="shared" si="11"/>
        <v>145</v>
      </c>
    </row>
    <row r="126" spans="1:25" ht="15.75" hidden="1" customHeight="1" x14ac:dyDescent="0.35">
      <c r="A126" s="3">
        <v>17020</v>
      </c>
      <c r="B126" s="3" t="s">
        <v>23</v>
      </c>
      <c r="C126" s="2">
        <v>46179</v>
      </c>
      <c r="D126" s="2">
        <v>46174</v>
      </c>
      <c r="E126" s="2">
        <v>46122</v>
      </c>
      <c r="F126" s="2">
        <v>46152</v>
      </c>
      <c r="G126" t="s">
        <v>204</v>
      </c>
      <c r="H126" t="s">
        <v>201</v>
      </c>
      <c r="I126" t="s">
        <v>31</v>
      </c>
      <c r="J126">
        <v>28</v>
      </c>
      <c r="K126">
        <v>40</v>
      </c>
      <c r="L126">
        <f t="shared" si="8"/>
        <v>12</v>
      </c>
      <c r="M126">
        <v>12</v>
      </c>
      <c r="N126">
        <f t="shared" si="14"/>
        <v>0</v>
      </c>
      <c r="O126">
        <v>12</v>
      </c>
      <c r="R126">
        <v>25</v>
      </c>
      <c r="S126">
        <v>3</v>
      </c>
      <c r="T126" s="3">
        <f t="shared" si="9"/>
        <v>40</v>
      </c>
      <c r="U126" s="3" t="str">
        <f t="shared" si="10"/>
        <v>USTED ESTÁ AL DÍA</v>
      </c>
      <c r="V126" s="3" t="s">
        <v>27</v>
      </c>
      <c r="W126">
        <v>30</v>
      </c>
      <c r="Y126">
        <f t="shared" si="11"/>
        <v>70</v>
      </c>
    </row>
    <row r="127" spans="1:25" ht="15.75" hidden="1" customHeight="1" x14ac:dyDescent="0.35">
      <c r="A127" s="3">
        <v>17021</v>
      </c>
      <c r="B127" s="3" t="s">
        <v>23</v>
      </c>
      <c r="C127" s="2">
        <v>46179</v>
      </c>
      <c r="D127" s="2">
        <v>46174</v>
      </c>
      <c r="E127" s="2">
        <v>46122</v>
      </c>
      <c r="F127" s="2">
        <v>46152</v>
      </c>
      <c r="G127" t="s">
        <v>205</v>
      </c>
      <c r="H127" t="s">
        <v>201</v>
      </c>
      <c r="I127" t="s">
        <v>33</v>
      </c>
      <c r="J127">
        <v>387</v>
      </c>
      <c r="K127">
        <v>406</v>
      </c>
      <c r="L127">
        <f t="shared" si="8"/>
        <v>19</v>
      </c>
      <c r="M127">
        <v>19</v>
      </c>
      <c r="N127">
        <f t="shared" si="14"/>
        <v>0</v>
      </c>
      <c r="O127">
        <v>19</v>
      </c>
      <c r="S127">
        <v>3</v>
      </c>
      <c r="T127" s="3">
        <f t="shared" si="9"/>
        <v>22</v>
      </c>
      <c r="U127" s="3" t="str">
        <f t="shared" si="10"/>
        <v>USTED ESTÁ AL DÍA</v>
      </c>
      <c r="V127" s="3" t="s">
        <v>27</v>
      </c>
      <c r="W127">
        <v>50</v>
      </c>
      <c r="Y127">
        <f t="shared" si="11"/>
        <v>72</v>
      </c>
    </row>
    <row r="128" spans="1:25" ht="15.75" hidden="1" customHeight="1" x14ac:dyDescent="0.35">
      <c r="A128" s="3">
        <v>17022</v>
      </c>
      <c r="B128" s="3" t="s">
        <v>23</v>
      </c>
      <c r="C128" s="2">
        <v>46179</v>
      </c>
      <c r="D128" s="2">
        <v>46174</v>
      </c>
      <c r="E128" s="2">
        <v>46122</v>
      </c>
      <c r="F128" s="2">
        <v>46152</v>
      </c>
      <c r="G128" t="s">
        <v>206</v>
      </c>
      <c r="H128" t="s">
        <v>201</v>
      </c>
      <c r="I128" t="s">
        <v>35</v>
      </c>
      <c r="J128">
        <v>637</v>
      </c>
      <c r="K128">
        <v>659</v>
      </c>
      <c r="L128">
        <f t="shared" si="8"/>
        <v>22</v>
      </c>
      <c r="M128">
        <v>22</v>
      </c>
      <c r="N128">
        <f t="shared" si="14"/>
        <v>0</v>
      </c>
      <c r="O128">
        <v>22</v>
      </c>
      <c r="S128">
        <v>3</v>
      </c>
      <c r="T128" s="3">
        <f t="shared" si="9"/>
        <v>25</v>
      </c>
      <c r="U128" s="3" t="str">
        <f t="shared" si="10"/>
        <v>USTED ESTÁ AL DÍA</v>
      </c>
      <c r="V128" s="3" t="s">
        <v>27</v>
      </c>
      <c r="W128">
        <v>30</v>
      </c>
      <c r="X128">
        <v>50</v>
      </c>
      <c r="Y128">
        <f t="shared" si="11"/>
        <v>105</v>
      </c>
    </row>
    <row r="129" spans="1:25" ht="15.75" hidden="1" customHeight="1" x14ac:dyDescent="0.35">
      <c r="A129" s="3">
        <v>17023</v>
      </c>
      <c r="B129" s="3" t="s">
        <v>23</v>
      </c>
      <c r="C129" s="2">
        <v>46179</v>
      </c>
      <c r="D129" s="2">
        <v>46174</v>
      </c>
      <c r="E129" s="2">
        <v>46122</v>
      </c>
      <c r="F129" s="2">
        <v>46152</v>
      </c>
      <c r="G129" t="s">
        <v>207</v>
      </c>
      <c r="H129" t="s">
        <v>201</v>
      </c>
      <c r="I129" t="s">
        <v>37</v>
      </c>
      <c r="J129">
        <v>179</v>
      </c>
      <c r="K129">
        <v>258</v>
      </c>
      <c r="L129">
        <f t="shared" si="8"/>
        <v>79</v>
      </c>
      <c r="M129">
        <v>79</v>
      </c>
      <c r="N129">
        <f t="shared" si="14"/>
        <v>0</v>
      </c>
      <c r="O129">
        <v>79</v>
      </c>
      <c r="R129">
        <v>25</v>
      </c>
      <c r="S129">
        <v>3</v>
      </c>
      <c r="T129" s="3">
        <f t="shared" si="9"/>
        <v>107</v>
      </c>
      <c r="U129" s="3" t="str">
        <f t="shared" si="10"/>
        <v>USTED ESTÁ AL DÍA</v>
      </c>
      <c r="V129" s="3" t="s">
        <v>27</v>
      </c>
      <c r="X129">
        <v>50</v>
      </c>
      <c r="Y129">
        <f t="shared" si="11"/>
        <v>157</v>
      </c>
    </row>
    <row r="130" spans="1:25" ht="15.75" hidden="1" customHeight="1" x14ac:dyDescent="0.35">
      <c r="A130" s="3">
        <v>17024</v>
      </c>
      <c r="B130" s="3" t="s">
        <v>23</v>
      </c>
      <c r="C130" s="2">
        <v>46179</v>
      </c>
      <c r="D130" s="2">
        <v>46174</v>
      </c>
      <c r="E130" s="2">
        <v>46122</v>
      </c>
      <c r="F130" s="2">
        <v>46152</v>
      </c>
      <c r="G130" t="s">
        <v>208</v>
      </c>
      <c r="H130" t="s">
        <v>201</v>
      </c>
      <c r="I130" t="s">
        <v>39</v>
      </c>
      <c r="J130">
        <v>5844</v>
      </c>
      <c r="K130">
        <v>5965</v>
      </c>
      <c r="L130">
        <f t="shared" ref="L130:L193" si="15">K130-J130</f>
        <v>121</v>
      </c>
      <c r="M130">
        <v>121</v>
      </c>
      <c r="N130">
        <f t="shared" si="14"/>
        <v>0</v>
      </c>
      <c r="O130">
        <v>121</v>
      </c>
      <c r="S130">
        <v>3</v>
      </c>
      <c r="T130" s="3">
        <f t="shared" ref="T130:T193" si="16">SUM(O130:S130)</f>
        <v>124</v>
      </c>
      <c r="U130" s="3" t="str">
        <f t="shared" ref="U130:U193" si="17">IF(P130&lt;8,"USTED ESTÁ AL DÍA","USTED NO ESTÁ AL DÍA")</f>
        <v>USTED ESTÁ AL DÍA</v>
      </c>
      <c r="V130" s="3" t="s">
        <v>27</v>
      </c>
      <c r="W130">
        <v>50</v>
      </c>
      <c r="Y130">
        <f t="shared" ref="Y130:Y193" si="18">T130+W130+X130</f>
        <v>174</v>
      </c>
    </row>
    <row r="131" spans="1:25" ht="15.75" hidden="1" customHeight="1" x14ac:dyDescent="0.35">
      <c r="A131" s="3">
        <v>17025</v>
      </c>
      <c r="B131" s="3" t="s">
        <v>23</v>
      </c>
      <c r="C131" s="2">
        <v>46179</v>
      </c>
      <c r="D131" s="2">
        <v>46174</v>
      </c>
      <c r="E131" s="2">
        <v>46122</v>
      </c>
      <c r="F131" s="2">
        <v>46152</v>
      </c>
      <c r="G131" t="s">
        <v>209</v>
      </c>
      <c r="H131" t="s">
        <v>201</v>
      </c>
      <c r="I131" t="s">
        <v>43</v>
      </c>
      <c r="J131">
        <v>4131</v>
      </c>
      <c r="K131">
        <v>4139</v>
      </c>
      <c r="L131">
        <f t="shared" si="15"/>
        <v>8</v>
      </c>
      <c r="M131">
        <v>8</v>
      </c>
      <c r="N131">
        <f t="shared" si="14"/>
        <v>0</v>
      </c>
      <c r="O131">
        <v>8</v>
      </c>
      <c r="Q131">
        <v>19</v>
      </c>
      <c r="S131">
        <v>3</v>
      </c>
      <c r="T131" s="3">
        <f t="shared" si="16"/>
        <v>30</v>
      </c>
      <c r="U131" s="3" t="str">
        <f t="shared" si="17"/>
        <v>USTED ESTÁ AL DÍA</v>
      </c>
      <c r="V131" s="3" t="s">
        <v>27</v>
      </c>
      <c r="W131">
        <v>50</v>
      </c>
      <c r="Y131">
        <f t="shared" si="18"/>
        <v>80</v>
      </c>
    </row>
    <row r="132" spans="1:25" ht="15.75" hidden="1" customHeight="1" x14ac:dyDescent="0.35">
      <c r="A132" s="3">
        <v>17026</v>
      </c>
      <c r="B132" s="3" t="s">
        <v>23</v>
      </c>
      <c r="C132" s="2">
        <v>46179</v>
      </c>
      <c r="D132" s="2">
        <v>46174</v>
      </c>
      <c r="E132" s="2">
        <v>46122</v>
      </c>
      <c r="F132" s="2">
        <v>46152</v>
      </c>
      <c r="G132" t="s">
        <v>210</v>
      </c>
      <c r="H132" t="s">
        <v>201</v>
      </c>
      <c r="I132" t="s">
        <v>45</v>
      </c>
      <c r="J132">
        <v>2912</v>
      </c>
      <c r="K132">
        <v>2921</v>
      </c>
      <c r="L132">
        <f t="shared" si="15"/>
        <v>9</v>
      </c>
      <c r="M132">
        <v>9</v>
      </c>
      <c r="N132">
        <f t="shared" si="14"/>
        <v>0</v>
      </c>
      <c r="O132">
        <v>9</v>
      </c>
      <c r="S132">
        <v>3</v>
      </c>
      <c r="T132" s="3">
        <f t="shared" si="16"/>
        <v>12</v>
      </c>
      <c r="U132" s="3" t="str">
        <f t="shared" si="17"/>
        <v>USTED ESTÁ AL DÍA</v>
      </c>
      <c r="V132" s="3" t="s">
        <v>27</v>
      </c>
      <c r="Y132">
        <f t="shared" si="18"/>
        <v>12</v>
      </c>
    </row>
    <row r="133" spans="1:25" ht="15.75" hidden="1" customHeight="1" x14ac:dyDescent="0.35">
      <c r="A133" s="3">
        <v>17027</v>
      </c>
      <c r="B133" s="3" t="s">
        <v>23</v>
      </c>
      <c r="C133" s="2">
        <v>46179</v>
      </c>
      <c r="D133" s="2">
        <v>46174</v>
      </c>
      <c r="E133" s="2">
        <v>46122</v>
      </c>
      <c r="F133" s="2">
        <v>46152</v>
      </c>
      <c r="G133" t="s">
        <v>211</v>
      </c>
      <c r="H133" t="s">
        <v>201</v>
      </c>
      <c r="I133" t="s">
        <v>47</v>
      </c>
      <c r="J133">
        <v>1119</v>
      </c>
      <c r="K133">
        <v>1132</v>
      </c>
      <c r="L133">
        <f t="shared" si="15"/>
        <v>13</v>
      </c>
      <c r="M133">
        <v>13</v>
      </c>
      <c r="N133">
        <f t="shared" si="14"/>
        <v>0</v>
      </c>
      <c r="O133">
        <v>13</v>
      </c>
      <c r="S133">
        <v>3</v>
      </c>
      <c r="T133" s="3">
        <f t="shared" si="16"/>
        <v>16</v>
      </c>
      <c r="U133" s="3" t="str">
        <f t="shared" si="17"/>
        <v>USTED ESTÁ AL DÍA</v>
      </c>
      <c r="V133" s="3" t="s">
        <v>27</v>
      </c>
      <c r="W133">
        <v>50</v>
      </c>
      <c r="X133">
        <v>75</v>
      </c>
      <c r="Y133">
        <f t="shared" si="18"/>
        <v>141</v>
      </c>
    </row>
    <row r="134" spans="1:25" ht="15.75" hidden="1" customHeight="1" x14ac:dyDescent="0.35">
      <c r="A134" s="3">
        <v>17028</v>
      </c>
      <c r="B134" s="3" t="s">
        <v>23</v>
      </c>
      <c r="C134" s="2">
        <v>46179</v>
      </c>
      <c r="D134" s="2">
        <v>46174</v>
      </c>
      <c r="E134" s="2">
        <v>46122</v>
      </c>
      <c r="F134" s="2">
        <v>46152</v>
      </c>
      <c r="G134" t="s">
        <v>212</v>
      </c>
      <c r="H134" t="s">
        <v>201</v>
      </c>
      <c r="I134" t="s">
        <v>66</v>
      </c>
      <c r="J134">
        <v>283</v>
      </c>
      <c r="K134">
        <v>298</v>
      </c>
      <c r="L134">
        <f t="shared" si="15"/>
        <v>15</v>
      </c>
      <c r="M134">
        <v>15</v>
      </c>
      <c r="N134">
        <f t="shared" si="14"/>
        <v>0</v>
      </c>
      <c r="O134">
        <v>15</v>
      </c>
      <c r="S134">
        <v>3</v>
      </c>
      <c r="T134" s="3">
        <f t="shared" si="16"/>
        <v>18</v>
      </c>
      <c r="U134" s="3" t="str">
        <f t="shared" si="17"/>
        <v>USTED ESTÁ AL DÍA</v>
      </c>
      <c r="V134" s="3" t="s">
        <v>27</v>
      </c>
      <c r="X134">
        <v>50</v>
      </c>
      <c r="Y134">
        <f t="shared" si="18"/>
        <v>68</v>
      </c>
    </row>
    <row r="135" spans="1:25" ht="15.75" hidden="1" customHeight="1" x14ac:dyDescent="0.35">
      <c r="A135" s="3">
        <v>17029</v>
      </c>
      <c r="B135" s="3" t="s">
        <v>23</v>
      </c>
      <c r="C135" s="2">
        <v>46179</v>
      </c>
      <c r="D135" s="2">
        <v>46174</v>
      </c>
      <c r="E135" s="2">
        <v>46122</v>
      </c>
      <c r="F135" s="2">
        <v>46152</v>
      </c>
      <c r="G135" t="s">
        <v>213</v>
      </c>
      <c r="H135" t="s">
        <v>201</v>
      </c>
      <c r="I135" t="s">
        <v>68</v>
      </c>
      <c r="J135">
        <v>559</v>
      </c>
      <c r="K135">
        <v>581</v>
      </c>
      <c r="L135">
        <f t="shared" si="15"/>
        <v>22</v>
      </c>
      <c r="M135">
        <v>22</v>
      </c>
      <c r="N135">
        <f t="shared" si="14"/>
        <v>0</v>
      </c>
      <c r="O135">
        <v>22</v>
      </c>
      <c r="S135">
        <v>3</v>
      </c>
      <c r="T135" s="3">
        <f t="shared" si="16"/>
        <v>25</v>
      </c>
      <c r="U135" s="3" t="str">
        <f t="shared" si="17"/>
        <v>USTED ESTÁ AL DÍA</v>
      </c>
      <c r="V135" s="3" t="s">
        <v>27</v>
      </c>
      <c r="W135">
        <v>30</v>
      </c>
      <c r="Y135">
        <f t="shared" si="18"/>
        <v>55</v>
      </c>
    </row>
    <row r="136" spans="1:25" ht="15.75" hidden="1" customHeight="1" x14ac:dyDescent="0.35">
      <c r="A136" s="3">
        <v>17030</v>
      </c>
      <c r="B136" s="3" t="s">
        <v>23</v>
      </c>
      <c r="C136" s="2">
        <v>46179</v>
      </c>
      <c r="D136" s="2">
        <v>46174</v>
      </c>
      <c r="E136" s="2">
        <v>46122</v>
      </c>
      <c r="F136" s="2">
        <v>46152</v>
      </c>
      <c r="G136" t="s">
        <v>214</v>
      </c>
      <c r="H136" t="s">
        <v>201</v>
      </c>
      <c r="I136" t="s">
        <v>79</v>
      </c>
      <c r="J136">
        <v>18</v>
      </c>
      <c r="K136">
        <v>25</v>
      </c>
      <c r="L136">
        <f t="shared" si="15"/>
        <v>7</v>
      </c>
      <c r="M136">
        <v>7</v>
      </c>
      <c r="N136">
        <f t="shared" si="14"/>
        <v>0</v>
      </c>
      <c r="O136">
        <v>7</v>
      </c>
      <c r="R136">
        <v>25</v>
      </c>
      <c r="S136">
        <v>3</v>
      </c>
      <c r="T136" s="3">
        <f t="shared" si="16"/>
        <v>35</v>
      </c>
      <c r="U136" s="3" t="str">
        <f t="shared" si="17"/>
        <v>USTED ESTÁ AL DÍA</v>
      </c>
      <c r="V136" s="3" t="s">
        <v>27</v>
      </c>
      <c r="W136">
        <v>50</v>
      </c>
      <c r="X136">
        <v>50</v>
      </c>
      <c r="Y136">
        <f t="shared" si="18"/>
        <v>135</v>
      </c>
    </row>
    <row r="137" spans="1:25" ht="15.75" hidden="1" customHeight="1" x14ac:dyDescent="0.35">
      <c r="A137" s="3">
        <v>17031</v>
      </c>
      <c r="B137" s="3" t="s">
        <v>23</v>
      </c>
      <c r="C137" s="2">
        <v>46179</v>
      </c>
      <c r="D137" s="2">
        <v>46174</v>
      </c>
      <c r="E137" s="2">
        <v>46122</v>
      </c>
      <c r="F137" s="2">
        <v>46152</v>
      </c>
      <c r="G137" t="s">
        <v>215</v>
      </c>
      <c r="H137" t="s">
        <v>201</v>
      </c>
      <c r="I137" t="s">
        <v>93</v>
      </c>
      <c r="J137">
        <v>3183</v>
      </c>
      <c r="K137">
        <v>3209</v>
      </c>
      <c r="L137">
        <f t="shared" si="15"/>
        <v>26</v>
      </c>
      <c r="M137">
        <v>26</v>
      </c>
      <c r="N137">
        <f t="shared" si="14"/>
        <v>0</v>
      </c>
      <c r="O137">
        <v>26</v>
      </c>
      <c r="S137">
        <v>3</v>
      </c>
      <c r="T137" s="3">
        <f t="shared" si="16"/>
        <v>29</v>
      </c>
      <c r="U137" s="3" t="str">
        <f t="shared" si="17"/>
        <v>USTED ESTÁ AL DÍA</v>
      </c>
      <c r="V137" s="3" t="s">
        <v>27</v>
      </c>
      <c r="Y137">
        <f t="shared" si="18"/>
        <v>29</v>
      </c>
    </row>
    <row r="138" spans="1:25" ht="15.75" hidden="1" customHeight="1" x14ac:dyDescent="0.35">
      <c r="A138" s="3">
        <v>17032</v>
      </c>
      <c r="B138" s="3" t="s">
        <v>23</v>
      </c>
      <c r="C138" s="2">
        <v>46179</v>
      </c>
      <c r="D138" s="2">
        <v>46174</v>
      </c>
      <c r="E138" s="2">
        <v>46122</v>
      </c>
      <c r="F138" s="2">
        <v>46152</v>
      </c>
      <c r="G138" t="s">
        <v>216</v>
      </c>
      <c r="H138" t="s">
        <v>201</v>
      </c>
      <c r="I138" t="s">
        <v>95</v>
      </c>
      <c r="J138">
        <v>1052</v>
      </c>
      <c r="K138">
        <v>1105</v>
      </c>
      <c r="L138">
        <f t="shared" si="15"/>
        <v>53</v>
      </c>
      <c r="M138">
        <v>53</v>
      </c>
      <c r="N138">
        <f t="shared" si="14"/>
        <v>0</v>
      </c>
      <c r="O138">
        <v>53</v>
      </c>
      <c r="S138">
        <v>3</v>
      </c>
      <c r="T138" s="3">
        <f t="shared" si="16"/>
        <v>56</v>
      </c>
      <c r="U138" s="3" t="str">
        <f t="shared" si="17"/>
        <v>USTED ESTÁ AL DÍA</v>
      </c>
      <c r="V138" s="3" t="s">
        <v>27</v>
      </c>
      <c r="Y138">
        <f t="shared" si="18"/>
        <v>56</v>
      </c>
    </row>
    <row r="139" spans="1:25" ht="15.75" hidden="1" customHeight="1" x14ac:dyDescent="0.35">
      <c r="A139" s="3">
        <v>17033</v>
      </c>
      <c r="B139" s="3" t="s">
        <v>23</v>
      </c>
      <c r="C139" s="2">
        <v>46179</v>
      </c>
      <c r="D139" s="2">
        <v>46174</v>
      </c>
      <c r="E139" s="2">
        <v>46122</v>
      </c>
      <c r="F139" s="2">
        <v>46152</v>
      </c>
      <c r="G139" t="s">
        <v>217</v>
      </c>
      <c r="H139" t="s">
        <v>201</v>
      </c>
      <c r="I139" t="s">
        <v>91</v>
      </c>
      <c r="J139">
        <v>47</v>
      </c>
      <c r="K139">
        <v>65</v>
      </c>
      <c r="L139">
        <f t="shared" si="15"/>
        <v>18</v>
      </c>
      <c r="M139">
        <v>18</v>
      </c>
      <c r="N139">
        <f t="shared" si="14"/>
        <v>0</v>
      </c>
      <c r="O139">
        <v>18</v>
      </c>
      <c r="R139">
        <v>25</v>
      </c>
      <c r="S139">
        <v>3</v>
      </c>
      <c r="T139" s="3">
        <f t="shared" si="16"/>
        <v>46</v>
      </c>
      <c r="U139" s="3" t="str">
        <f t="shared" si="17"/>
        <v>USTED ESTÁ AL DÍA</v>
      </c>
      <c r="V139" s="3" t="s">
        <v>27</v>
      </c>
      <c r="W139">
        <v>30</v>
      </c>
      <c r="X139">
        <v>50</v>
      </c>
      <c r="Y139">
        <f t="shared" si="18"/>
        <v>126</v>
      </c>
    </row>
    <row r="140" spans="1:25" ht="15.75" hidden="1" customHeight="1" x14ac:dyDescent="0.35">
      <c r="A140" s="3">
        <v>17034</v>
      </c>
      <c r="B140" s="3" t="s">
        <v>23</v>
      </c>
      <c r="C140" s="2">
        <v>46179</v>
      </c>
      <c r="D140" s="2">
        <v>46174</v>
      </c>
      <c r="E140" s="2">
        <v>46122</v>
      </c>
      <c r="F140" s="2">
        <v>46152</v>
      </c>
      <c r="G140" t="s">
        <v>218</v>
      </c>
      <c r="H140" t="s">
        <v>201</v>
      </c>
      <c r="I140" t="s">
        <v>97</v>
      </c>
      <c r="L140">
        <f t="shared" si="15"/>
        <v>0</v>
      </c>
      <c r="S140">
        <v>0</v>
      </c>
      <c r="T140" s="3">
        <f t="shared" si="16"/>
        <v>0</v>
      </c>
      <c r="U140" s="3" t="str">
        <f t="shared" si="17"/>
        <v>USTED ESTÁ AL DÍA</v>
      </c>
      <c r="V140" s="3" t="s">
        <v>27</v>
      </c>
      <c r="W140">
        <v>50</v>
      </c>
      <c r="Y140">
        <f t="shared" si="18"/>
        <v>50</v>
      </c>
    </row>
    <row r="141" spans="1:25" ht="15.75" hidden="1" customHeight="1" x14ac:dyDescent="0.35">
      <c r="A141" s="3">
        <v>17035</v>
      </c>
      <c r="B141" s="3" t="s">
        <v>23</v>
      </c>
      <c r="C141" s="2">
        <v>46179</v>
      </c>
      <c r="D141" s="2">
        <v>46174</v>
      </c>
      <c r="E141" s="2">
        <v>46122</v>
      </c>
      <c r="F141" s="2">
        <v>46152</v>
      </c>
      <c r="G141" t="s">
        <v>219</v>
      </c>
      <c r="H141" t="s">
        <v>220</v>
      </c>
      <c r="I141" t="s">
        <v>29</v>
      </c>
      <c r="J141">
        <v>40</v>
      </c>
      <c r="K141">
        <v>40</v>
      </c>
      <c r="L141">
        <f t="shared" si="15"/>
        <v>0</v>
      </c>
      <c r="M141">
        <v>5</v>
      </c>
      <c r="O141">
        <v>5</v>
      </c>
      <c r="S141">
        <v>3</v>
      </c>
      <c r="T141" s="3">
        <f t="shared" si="16"/>
        <v>8</v>
      </c>
      <c r="U141" s="3" t="str">
        <f t="shared" si="17"/>
        <v>USTED ESTÁ AL DÍA</v>
      </c>
      <c r="V141" s="3" t="s">
        <v>27</v>
      </c>
      <c r="W141">
        <v>50</v>
      </c>
      <c r="Y141">
        <f t="shared" si="18"/>
        <v>58</v>
      </c>
    </row>
    <row r="142" spans="1:25" ht="15.75" hidden="1" customHeight="1" x14ac:dyDescent="0.35">
      <c r="A142" s="3">
        <v>17036</v>
      </c>
      <c r="B142" s="3" t="s">
        <v>23</v>
      </c>
      <c r="C142" s="2">
        <v>46179</v>
      </c>
      <c r="D142" s="2">
        <v>46174</v>
      </c>
      <c r="E142" s="2">
        <v>46122</v>
      </c>
      <c r="F142" s="2">
        <v>46152</v>
      </c>
      <c r="G142" t="s">
        <v>221</v>
      </c>
      <c r="H142" t="s">
        <v>220</v>
      </c>
      <c r="I142" t="s">
        <v>31</v>
      </c>
      <c r="J142">
        <v>647</v>
      </c>
      <c r="K142">
        <v>653</v>
      </c>
      <c r="L142">
        <f t="shared" si="15"/>
        <v>6</v>
      </c>
      <c r="M142">
        <v>6</v>
      </c>
      <c r="N142">
        <f>IF(L142&lt;&gt;M142,1,0)</f>
        <v>0</v>
      </c>
      <c r="O142">
        <v>6</v>
      </c>
      <c r="S142">
        <v>3</v>
      </c>
      <c r="T142" s="3">
        <f t="shared" si="16"/>
        <v>9</v>
      </c>
      <c r="U142" s="3" t="str">
        <f t="shared" si="17"/>
        <v>USTED ESTÁ AL DÍA</v>
      </c>
      <c r="V142" s="3" t="s">
        <v>27</v>
      </c>
      <c r="W142">
        <v>20</v>
      </c>
      <c r="X142">
        <v>55</v>
      </c>
      <c r="Y142">
        <f t="shared" si="18"/>
        <v>84</v>
      </c>
    </row>
    <row r="143" spans="1:25" ht="15.75" hidden="1" customHeight="1" x14ac:dyDescent="0.35">
      <c r="A143" s="3">
        <v>17037</v>
      </c>
      <c r="B143" s="3" t="s">
        <v>23</v>
      </c>
      <c r="C143" s="2">
        <v>46179</v>
      </c>
      <c r="D143" s="2">
        <v>46174</v>
      </c>
      <c r="E143" s="2">
        <v>46122</v>
      </c>
      <c r="F143" s="2">
        <v>46152</v>
      </c>
      <c r="G143" t="s">
        <v>222</v>
      </c>
      <c r="H143" t="s">
        <v>220</v>
      </c>
      <c r="I143" t="s">
        <v>33</v>
      </c>
      <c r="J143">
        <v>91</v>
      </c>
      <c r="K143">
        <v>97</v>
      </c>
      <c r="L143">
        <f t="shared" si="15"/>
        <v>6</v>
      </c>
      <c r="M143">
        <v>6</v>
      </c>
      <c r="N143">
        <f>IF(L143&lt;&gt;M143,1,0)</f>
        <v>0</v>
      </c>
      <c r="O143">
        <v>6</v>
      </c>
      <c r="S143">
        <v>3</v>
      </c>
      <c r="T143" s="3">
        <f t="shared" si="16"/>
        <v>9</v>
      </c>
      <c r="U143" s="3" t="str">
        <f t="shared" si="17"/>
        <v>USTED ESTÁ AL DÍA</v>
      </c>
      <c r="V143" s="3" t="s">
        <v>27</v>
      </c>
      <c r="Y143">
        <f t="shared" si="18"/>
        <v>9</v>
      </c>
    </row>
    <row r="144" spans="1:25" ht="15.75" hidden="1" customHeight="1" x14ac:dyDescent="0.35">
      <c r="A144" s="3">
        <v>17038</v>
      </c>
      <c r="B144" s="3" t="s">
        <v>23</v>
      </c>
      <c r="C144" s="2">
        <v>46179</v>
      </c>
      <c r="D144" s="2">
        <v>46174</v>
      </c>
      <c r="E144" s="2">
        <v>46122</v>
      </c>
      <c r="F144" s="2">
        <v>46152</v>
      </c>
      <c r="G144" t="s">
        <v>223</v>
      </c>
      <c r="H144" t="s">
        <v>220</v>
      </c>
      <c r="I144" t="s">
        <v>37</v>
      </c>
      <c r="J144">
        <v>274</v>
      </c>
      <c r="K144">
        <v>279</v>
      </c>
      <c r="L144">
        <f t="shared" si="15"/>
        <v>5</v>
      </c>
      <c r="M144">
        <v>5</v>
      </c>
      <c r="O144">
        <v>5</v>
      </c>
      <c r="S144">
        <v>3</v>
      </c>
      <c r="T144" s="3">
        <f t="shared" si="16"/>
        <v>8</v>
      </c>
      <c r="U144" s="3" t="str">
        <f t="shared" si="17"/>
        <v>USTED ESTÁ AL DÍA</v>
      </c>
      <c r="V144" s="3" t="s">
        <v>27</v>
      </c>
      <c r="W144">
        <v>30</v>
      </c>
      <c r="X144">
        <v>50</v>
      </c>
      <c r="Y144">
        <f t="shared" si="18"/>
        <v>88</v>
      </c>
    </row>
    <row r="145" spans="1:25" ht="15.75" hidden="1" customHeight="1" x14ac:dyDescent="0.35">
      <c r="A145" s="3">
        <v>17039</v>
      </c>
      <c r="B145" s="3" t="s">
        <v>23</v>
      </c>
      <c r="C145" s="2">
        <v>46179</v>
      </c>
      <c r="D145" s="2">
        <v>46174</v>
      </c>
      <c r="E145" s="2">
        <v>46122</v>
      </c>
      <c r="F145" s="2">
        <v>46152</v>
      </c>
      <c r="G145" t="s">
        <v>224</v>
      </c>
      <c r="H145" t="s">
        <v>220</v>
      </c>
      <c r="I145" t="s">
        <v>26</v>
      </c>
      <c r="J145">
        <v>165</v>
      </c>
      <c r="K145">
        <v>165</v>
      </c>
      <c r="L145">
        <f t="shared" si="15"/>
        <v>0</v>
      </c>
      <c r="M145">
        <v>5</v>
      </c>
      <c r="O145">
        <v>5</v>
      </c>
      <c r="P145">
        <v>104</v>
      </c>
      <c r="S145">
        <v>3</v>
      </c>
      <c r="T145" s="3">
        <f t="shared" si="16"/>
        <v>112</v>
      </c>
      <c r="U145" s="3" t="str">
        <f t="shared" si="17"/>
        <v>USTED NO ESTÁ AL DÍA</v>
      </c>
      <c r="V145" s="3" t="s">
        <v>27</v>
      </c>
      <c r="W145">
        <v>80</v>
      </c>
      <c r="X145">
        <v>75</v>
      </c>
      <c r="Y145">
        <f t="shared" si="18"/>
        <v>267</v>
      </c>
    </row>
    <row r="146" spans="1:25" ht="15.75" hidden="1" customHeight="1" x14ac:dyDescent="0.35">
      <c r="A146" s="3">
        <v>17040</v>
      </c>
      <c r="B146" s="3" t="s">
        <v>23</v>
      </c>
      <c r="C146" s="2">
        <v>46179</v>
      </c>
      <c r="D146" s="2">
        <v>46174</v>
      </c>
      <c r="E146" s="2">
        <v>46122</v>
      </c>
      <c r="F146" s="2">
        <v>46152</v>
      </c>
      <c r="G146" t="s">
        <v>225</v>
      </c>
      <c r="H146" t="s">
        <v>220</v>
      </c>
      <c r="I146" t="s">
        <v>35</v>
      </c>
      <c r="J146">
        <v>902</v>
      </c>
      <c r="K146">
        <v>911</v>
      </c>
      <c r="L146">
        <f t="shared" si="15"/>
        <v>9</v>
      </c>
      <c r="M146">
        <v>9</v>
      </c>
      <c r="N146">
        <f>IF(L146&lt;&gt;M146,1,0)</f>
        <v>0</v>
      </c>
      <c r="O146">
        <v>9</v>
      </c>
      <c r="P146">
        <v>11</v>
      </c>
      <c r="S146">
        <v>3</v>
      </c>
      <c r="T146" s="3">
        <f t="shared" si="16"/>
        <v>23</v>
      </c>
      <c r="U146" s="3" t="str">
        <f t="shared" si="17"/>
        <v>USTED NO ESTÁ AL DÍA</v>
      </c>
      <c r="V146" s="3" t="s">
        <v>27</v>
      </c>
      <c r="W146">
        <v>20</v>
      </c>
      <c r="X146">
        <v>50</v>
      </c>
      <c r="Y146">
        <f t="shared" si="18"/>
        <v>93</v>
      </c>
    </row>
    <row r="147" spans="1:25" ht="15.75" hidden="1" customHeight="1" x14ac:dyDescent="0.35">
      <c r="A147" s="3">
        <v>17041</v>
      </c>
      <c r="B147" s="3" t="s">
        <v>23</v>
      </c>
      <c r="C147" s="2">
        <v>46179</v>
      </c>
      <c r="D147" s="2">
        <v>46174</v>
      </c>
      <c r="E147" s="2">
        <v>46122</v>
      </c>
      <c r="F147" s="2">
        <v>46152</v>
      </c>
      <c r="G147" t="s">
        <v>226</v>
      </c>
      <c r="H147" t="s">
        <v>227</v>
      </c>
      <c r="I147" t="s">
        <v>26</v>
      </c>
      <c r="J147">
        <v>306</v>
      </c>
      <c r="K147">
        <v>307</v>
      </c>
      <c r="L147">
        <f t="shared" si="15"/>
        <v>1</v>
      </c>
      <c r="M147">
        <v>5</v>
      </c>
      <c r="O147">
        <v>5</v>
      </c>
      <c r="S147">
        <v>3</v>
      </c>
      <c r="T147" s="3">
        <f t="shared" si="16"/>
        <v>8</v>
      </c>
      <c r="U147" s="3" t="str">
        <f t="shared" si="17"/>
        <v>USTED ESTÁ AL DÍA</v>
      </c>
      <c r="V147" s="3" t="s">
        <v>27</v>
      </c>
      <c r="Y147">
        <f t="shared" si="18"/>
        <v>8</v>
      </c>
    </row>
    <row r="148" spans="1:25" ht="15.75" hidden="1" customHeight="1" x14ac:dyDescent="0.35">
      <c r="A148" s="3">
        <v>17042</v>
      </c>
      <c r="B148" s="3" t="s">
        <v>23</v>
      </c>
      <c r="C148" s="2">
        <v>46179</v>
      </c>
      <c r="D148" s="2">
        <v>46174</v>
      </c>
      <c r="E148" s="2">
        <v>46122</v>
      </c>
      <c r="F148" s="2">
        <v>46152</v>
      </c>
      <c r="G148" t="s">
        <v>228</v>
      </c>
      <c r="H148" t="s">
        <v>227</v>
      </c>
      <c r="I148" t="s">
        <v>29</v>
      </c>
      <c r="J148">
        <v>53</v>
      </c>
      <c r="K148">
        <v>76</v>
      </c>
      <c r="L148">
        <f t="shared" si="15"/>
        <v>23</v>
      </c>
      <c r="M148">
        <v>23</v>
      </c>
      <c r="N148">
        <f>IF(L148&lt;&gt;M148,1,0)</f>
        <v>0</v>
      </c>
      <c r="O148">
        <v>23</v>
      </c>
      <c r="R148">
        <v>25</v>
      </c>
      <c r="S148">
        <v>3</v>
      </c>
      <c r="T148" s="3">
        <f t="shared" si="16"/>
        <v>51</v>
      </c>
      <c r="U148" s="3" t="str">
        <f t="shared" si="17"/>
        <v>USTED ESTÁ AL DÍA</v>
      </c>
      <c r="V148" s="3" t="s">
        <v>27</v>
      </c>
      <c r="W148">
        <v>30</v>
      </c>
      <c r="Y148">
        <f t="shared" si="18"/>
        <v>81</v>
      </c>
    </row>
    <row r="149" spans="1:25" ht="15.75" hidden="1" customHeight="1" x14ac:dyDescent="0.35">
      <c r="A149" s="3">
        <v>17043</v>
      </c>
      <c r="B149" s="3" t="s">
        <v>23</v>
      </c>
      <c r="C149" s="2">
        <v>46179</v>
      </c>
      <c r="D149" s="2">
        <v>46174</v>
      </c>
      <c r="E149" s="2">
        <v>46122</v>
      </c>
      <c r="F149" s="2">
        <v>46152</v>
      </c>
      <c r="G149" t="s">
        <v>229</v>
      </c>
      <c r="H149" t="s">
        <v>227</v>
      </c>
      <c r="I149" t="s">
        <v>31</v>
      </c>
      <c r="J149">
        <v>3000</v>
      </c>
      <c r="K149">
        <v>3015</v>
      </c>
      <c r="L149">
        <f t="shared" si="15"/>
        <v>15</v>
      </c>
      <c r="M149">
        <v>15</v>
      </c>
      <c r="N149">
        <f>IF(L149&lt;&gt;M149,1,0)</f>
        <v>0</v>
      </c>
      <c r="O149">
        <v>15</v>
      </c>
      <c r="S149">
        <v>3</v>
      </c>
      <c r="T149" s="3">
        <f t="shared" si="16"/>
        <v>18</v>
      </c>
      <c r="U149" s="3" t="str">
        <f t="shared" si="17"/>
        <v>USTED ESTÁ AL DÍA</v>
      </c>
      <c r="V149" s="3" t="s">
        <v>27</v>
      </c>
      <c r="W149">
        <v>20</v>
      </c>
      <c r="Y149">
        <f t="shared" si="18"/>
        <v>38</v>
      </c>
    </row>
    <row r="150" spans="1:25" ht="15.75" hidden="1" customHeight="1" x14ac:dyDescent="0.35">
      <c r="A150" s="3">
        <v>17044</v>
      </c>
      <c r="B150" s="3" t="s">
        <v>23</v>
      </c>
      <c r="C150" s="2">
        <v>46179</v>
      </c>
      <c r="D150" s="2">
        <v>46174</v>
      </c>
      <c r="E150" s="2">
        <v>46122</v>
      </c>
      <c r="F150" s="2">
        <v>46152</v>
      </c>
      <c r="G150" t="s">
        <v>230</v>
      </c>
      <c r="H150" t="s">
        <v>227</v>
      </c>
      <c r="I150" t="s">
        <v>33</v>
      </c>
      <c r="J150">
        <v>218</v>
      </c>
      <c r="K150">
        <v>232</v>
      </c>
      <c r="L150">
        <f t="shared" si="15"/>
        <v>14</v>
      </c>
      <c r="M150">
        <v>14</v>
      </c>
      <c r="N150">
        <f>IF(L150&lt;&gt;M150,1,0)</f>
        <v>0</v>
      </c>
      <c r="O150">
        <v>14</v>
      </c>
      <c r="S150">
        <v>3</v>
      </c>
      <c r="T150" s="3">
        <f t="shared" si="16"/>
        <v>17</v>
      </c>
      <c r="U150" s="3" t="str">
        <f t="shared" si="17"/>
        <v>USTED ESTÁ AL DÍA</v>
      </c>
      <c r="V150" s="3" t="s">
        <v>27</v>
      </c>
      <c r="W150">
        <v>30</v>
      </c>
      <c r="X150">
        <v>50</v>
      </c>
      <c r="Y150">
        <f t="shared" si="18"/>
        <v>97</v>
      </c>
    </row>
    <row r="151" spans="1:25" ht="15.75" hidden="1" customHeight="1" x14ac:dyDescent="0.35">
      <c r="A151" s="3">
        <v>17045</v>
      </c>
      <c r="B151" s="3" t="s">
        <v>23</v>
      </c>
      <c r="C151" s="2">
        <v>46179</v>
      </c>
      <c r="D151" s="2">
        <v>46174</v>
      </c>
      <c r="E151" s="2">
        <v>46122</v>
      </c>
      <c r="F151" s="2">
        <v>46152</v>
      </c>
      <c r="G151" t="s">
        <v>231</v>
      </c>
      <c r="H151" t="s">
        <v>227</v>
      </c>
      <c r="I151" t="s">
        <v>37</v>
      </c>
      <c r="J151">
        <v>969</v>
      </c>
      <c r="K151">
        <v>980</v>
      </c>
      <c r="L151">
        <f t="shared" si="15"/>
        <v>11</v>
      </c>
      <c r="M151">
        <v>11</v>
      </c>
      <c r="N151">
        <f>IF(L151&lt;&gt;M151,1,0)</f>
        <v>0</v>
      </c>
      <c r="O151">
        <v>11</v>
      </c>
      <c r="S151">
        <v>3</v>
      </c>
      <c r="T151" s="3">
        <f t="shared" si="16"/>
        <v>14</v>
      </c>
      <c r="U151" s="3" t="str">
        <f t="shared" si="17"/>
        <v>USTED ESTÁ AL DÍA</v>
      </c>
      <c r="V151" s="3" t="s">
        <v>27</v>
      </c>
      <c r="Y151">
        <f t="shared" si="18"/>
        <v>14</v>
      </c>
    </row>
    <row r="152" spans="1:25" ht="15.75" hidden="1" customHeight="1" x14ac:dyDescent="0.35">
      <c r="A152" s="3">
        <v>17046</v>
      </c>
      <c r="B152" s="3" t="s">
        <v>23</v>
      </c>
      <c r="C152" s="2">
        <v>46179</v>
      </c>
      <c r="D152" s="2">
        <v>46174</v>
      </c>
      <c r="E152" s="2">
        <v>46122</v>
      </c>
      <c r="F152" s="2">
        <v>46152</v>
      </c>
      <c r="G152" t="s">
        <v>232</v>
      </c>
      <c r="H152" t="s">
        <v>227</v>
      </c>
      <c r="I152" t="s">
        <v>39</v>
      </c>
      <c r="J152">
        <v>72</v>
      </c>
      <c r="K152">
        <v>77</v>
      </c>
      <c r="L152">
        <f t="shared" si="15"/>
        <v>5</v>
      </c>
      <c r="M152">
        <v>5</v>
      </c>
      <c r="N152">
        <f>IF(L152&lt;&gt;M152,1,0)</f>
        <v>0</v>
      </c>
      <c r="O152">
        <v>5</v>
      </c>
      <c r="S152">
        <v>3</v>
      </c>
      <c r="T152" s="3">
        <f t="shared" si="16"/>
        <v>8</v>
      </c>
      <c r="U152" s="3" t="str">
        <f t="shared" si="17"/>
        <v>USTED ESTÁ AL DÍA</v>
      </c>
      <c r="V152" s="3" t="s">
        <v>27</v>
      </c>
      <c r="Y152">
        <f t="shared" si="18"/>
        <v>8</v>
      </c>
    </row>
    <row r="153" spans="1:25" ht="15.75" hidden="1" customHeight="1" x14ac:dyDescent="0.35">
      <c r="A153" s="3">
        <v>17047</v>
      </c>
      <c r="B153" s="3" t="s">
        <v>23</v>
      </c>
      <c r="C153" s="2">
        <v>46179</v>
      </c>
      <c r="D153" s="2">
        <v>46174</v>
      </c>
      <c r="E153" s="2">
        <v>46122</v>
      </c>
      <c r="F153" s="2">
        <v>46152</v>
      </c>
      <c r="G153" t="s">
        <v>233</v>
      </c>
      <c r="H153" t="s">
        <v>227</v>
      </c>
      <c r="I153" t="s">
        <v>41</v>
      </c>
      <c r="J153">
        <v>1010</v>
      </c>
      <c r="K153">
        <v>1013</v>
      </c>
      <c r="L153">
        <f t="shared" si="15"/>
        <v>3</v>
      </c>
      <c r="M153">
        <v>5</v>
      </c>
      <c r="O153">
        <v>5</v>
      </c>
      <c r="S153">
        <v>3</v>
      </c>
      <c r="T153" s="3">
        <f t="shared" si="16"/>
        <v>8</v>
      </c>
      <c r="U153" s="3" t="str">
        <f t="shared" si="17"/>
        <v>USTED ESTÁ AL DÍA</v>
      </c>
      <c r="V153" s="3" t="s">
        <v>27</v>
      </c>
      <c r="W153">
        <v>50</v>
      </c>
      <c r="Y153">
        <f t="shared" si="18"/>
        <v>58</v>
      </c>
    </row>
    <row r="154" spans="1:25" ht="15.75" hidden="1" customHeight="1" x14ac:dyDescent="0.35">
      <c r="A154" s="3">
        <v>17048</v>
      </c>
      <c r="B154" s="3" t="s">
        <v>23</v>
      </c>
      <c r="C154" s="2">
        <v>46179</v>
      </c>
      <c r="D154" s="2">
        <v>46174</v>
      </c>
      <c r="E154" s="2">
        <v>46122</v>
      </c>
      <c r="F154" s="2">
        <v>46152</v>
      </c>
      <c r="G154" t="s">
        <v>234</v>
      </c>
      <c r="H154" t="s">
        <v>227</v>
      </c>
      <c r="I154" t="s">
        <v>43</v>
      </c>
      <c r="J154">
        <v>16</v>
      </c>
      <c r="K154">
        <v>38</v>
      </c>
      <c r="L154">
        <f t="shared" si="15"/>
        <v>22</v>
      </c>
      <c r="M154">
        <v>22</v>
      </c>
      <c r="N154">
        <f t="shared" ref="N154:N159" si="19">IF(L154&lt;&gt;M154,1,0)</f>
        <v>0</v>
      </c>
      <c r="O154">
        <v>22</v>
      </c>
      <c r="S154">
        <v>3</v>
      </c>
      <c r="T154" s="3">
        <f t="shared" si="16"/>
        <v>25</v>
      </c>
      <c r="U154" s="3" t="str">
        <f t="shared" si="17"/>
        <v>USTED ESTÁ AL DÍA</v>
      </c>
      <c r="V154" s="3" t="s">
        <v>27</v>
      </c>
      <c r="X154">
        <v>50</v>
      </c>
      <c r="Y154">
        <f t="shared" si="18"/>
        <v>75</v>
      </c>
    </row>
    <row r="155" spans="1:25" ht="15.75" hidden="1" customHeight="1" x14ac:dyDescent="0.35">
      <c r="A155" s="3">
        <v>17049</v>
      </c>
      <c r="B155" s="3" t="s">
        <v>23</v>
      </c>
      <c r="C155" s="2">
        <v>46179</v>
      </c>
      <c r="D155" s="2">
        <v>46174</v>
      </c>
      <c r="E155" s="2">
        <v>46122</v>
      </c>
      <c r="F155" s="2">
        <v>46152</v>
      </c>
      <c r="G155" t="s">
        <v>235</v>
      </c>
      <c r="H155" t="s">
        <v>227</v>
      </c>
      <c r="I155" t="s">
        <v>45</v>
      </c>
      <c r="J155">
        <v>1060</v>
      </c>
      <c r="K155">
        <v>1084</v>
      </c>
      <c r="L155">
        <f t="shared" si="15"/>
        <v>24</v>
      </c>
      <c r="M155">
        <v>24</v>
      </c>
      <c r="N155">
        <f t="shared" si="19"/>
        <v>0</v>
      </c>
      <c r="O155">
        <v>24</v>
      </c>
      <c r="S155">
        <v>3</v>
      </c>
      <c r="T155" s="3">
        <f t="shared" si="16"/>
        <v>27</v>
      </c>
      <c r="U155" s="3" t="str">
        <f t="shared" si="17"/>
        <v>USTED ESTÁ AL DÍA</v>
      </c>
      <c r="V155" s="3" t="s">
        <v>27</v>
      </c>
      <c r="X155">
        <v>75</v>
      </c>
      <c r="Y155">
        <f t="shared" si="18"/>
        <v>102</v>
      </c>
    </row>
    <row r="156" spans="1:25" ht="15.75" hidden="1" customHeight="1" x14ac:dyDescent="0.35">
      <c r="A156" s="3">
        <v>17050</v>
      </c>
      <c r="B156" s="3" t="s">
        <v>23</v>
      </c>
      <c r="C156" s="2">
        <v>46179</v>
      </c>
      <c r="D156" s="2">
        <v>46174</v>
      </c>
      <c r="E156" s="2">
        <v>46122</v>
      </c>
      <c r="F156" s="2">
        <v>46152</v>
      </c>
      <c r="G156" t="s">
        <v>236</v>
      </c>
      <c r="H156" t="s">
        <v>227</v>
      </c>
      <c r="I156" t="s">
        <v>47</v>
      </c>
      <c r="J156">
        <v>4264</v>
      </c>
      <c r="K156">
        <v>4303</v>
      </c>
      <c r="L156">
        <f t="shared" si="15"/>
        <v>39</v>
      </c>
      <c r="M156">
        <v>39</v>
      </c>
      <c r="N156">
        <f t="shared" si="19"/>
        <v>0</v>
      </c>
      <c r="O156">
        <v>39</v>
      </c>
      <c r="P156">
        <v>3</v>
      </c>
      <c r="S156">
        <v>3</v>
      </c>
      <c r="T156" s="3">
        <f t="shared" si="16"/>
        <v>45</v>
      </c>
      <c r="U156" s="3" t="str">
        <f t="shared" si="17"/>
        <v>USTED ESTÁ AL DÍA</v>
      </c>
      <c r="V156" s="3" t="s">
        <v>27</v>
      </c>
      <c r="W156">
        <v>30</v>
      </c>
      <c r="X156">
        <v>75</v>
      </c>
      <c r="Y156">
        <f t="shared" si="18"/>
        <v>150</v>
      </c>
    </row>
    <row r="157" spans="1:25" ht="15.75" hidden="1" customHeight="1" x14ac:dyDescent="0.35">
      <c r="A157" s="3">
        <v>17051</v>
      </c>
      <c r="B157" s="3" t="s">
        <v>23</v>
      </c>
      <c r="C157" s="2">
        <v>46179</v>
      </c>
      <c r="D157" s="2">
        <v>46174</v>
      </c>
      <c r="E157" s="2">
        <v>46122</v>
      </c>
      <c r="F157" s="2">
        <v>46152</v>
      </c>
      <c r="G157" t="s">
        <v>237</v>
      </c>
      <c r="H157" t="s">
        <v>227</v>
      </c>
      <c r="I157" t="s">
        <v>66</v>
      </c>
      <c r="J157">
        <v>37</v>
      </c>
      <c r="K157">
        <v>63</v>
      </c>
      <c r="L157">
        <f t="shared" si="15"/>
        <v>26</v>
      </c>
      <c r="M157">
        <v>26</v>
      </c>
      <c r="N157">
        <f t="shared" si="19"/>
        <v>0</v>
      </c>
      <c r="O157">
        <v>26</v>
      </c>
      <c r="R157">
        <v>26</v>
      </c>
      <c r="S157">
        <v>3</v>
      </c>
      <c r="T157" s="3">
        <f t="shared" si="16"/>
        <v>55</v>
      </c>
      <c r="U157" s="3" t="str">
        <f t="shared" si="17"/>
        <v>USTED ESTÁ AL DÍA</v>
      </c>
      <c r="V157" s="3" t="s">
        <v>27</v>
      </c>
      <c r="X157">
        <v>50</v>
      </c>
      <c r="Y157">
        <f t="shared" si="18"/>
        <v>105</v>
      </c>
    </row>
    <row r="158" spans="1:25" ht="15.75" hidden="1" customHeight="1" x14ac:dyDescent="0.35">
      <c r="A158" s="3">
        <v>17052</v>
      </c>
      <c r="B158" s="3" t="s">
        <v>23</v>
      </c>
      <c r="C158" s="2">
        <v>46179</v>
      </c>
      <c r="D158" s="2">
        <v>46174</v>
      </c>
      <c r="E158" s="2">
        <v>46122</v>
      </c>
      <c r="F158" s="2">
        <v>46152</v>
      </c>
      <c r="G158" t="s">
        <v>238</v>
      </c>
      <c r="H158" t="s">
        <v>227</v>
      </c>
      <c r="I158" t="s">
        <v>68</v>
      </c>
      <c r="J158">
        <v>3118</v>
      </c>
      <c r="K158">
        <v>3127</v>
      </c>
      <c r="L158">
        <f t="shared" si="15"/>
        <v>9</v>
      </c>
      <c r="M158">
        <v>9</v>
      </c>
      <c r="N158">
        <f t="shared" si="19"/>
        <v>0</v>
      </c>
      <c r="O158">
        <v>9</v>
      </c>
      <c r="S158">
        <v>3</v>
      </c>
      <c r="T158" s="3">
        <f t="shared" si="16"/>
        <v>12</v>
      </c>
      <c r="U158" s="3" t="str">
        <f t="shared" si="17"/>
        <v>USTED ESTÁ AL DÍA</v>
      </c>
      <c r="V158" s="3" t="s">
        <v>27</v>
      </c>
      <c r="W158">
        <v>30</v>
      </c>
      <c r="X158">
        <v>50</v>
      </c>
      <c r="Y158">
        <f t="shared" si="18"/>
        <v>92</v>
      </c>
    </row>
    <row r="159" spans="1:25" ht="15.75" hidden="1" customHeight="1" x14ac:dyDescent="0.35">
      <c r="A159" s="3">
        <v>17053</v>
      </c>
      <c r="B159" s="3" t="s">
        <v>23</v>
      </c>
      <c r="C159" s="2">
        <v>46179</v>
      </c>
      <c r="D159" s="2">
        <v>46174</v>
      </c>
      <c r="E159" s="2">
        <v>46122</v>
      </c>
      <c r="F159" s="2">
        <v>46152</v>
      </c>
      <c r="G159" t="s">
        <v>239</v>
      </c>
      <c r="H159" t="s">
        <v>227</v>
      </c>
      <c r="I159" t="s">
        <v>97</v>
      </c>
      <c r="J159">
        <v>86</v>
      </c>
      <c r="K159">
        <v>97</v>
      </c>
      <c r="L159">
        <f t="shared" si="15"/>
        <v>11</v>
      </c>
      <c r="M159">
        <v>11</v>
      </c>
      <c r="N159">
        <f t="shared" si="19"/>
        <v>0</v>
      </c>
      <c r="O159">
        <v>11</v>
      </c>
      <c r="S159">
        <v>3</v>
      </c>
      <c r="T159" s="3">
        <f t="shared" si="16"/>
        <v>14</v>
      </c>
      <c r="U159" s="3" t="str">
        <f t="shared" si="17"/>
        <v>USTED ESTÁ AL DÍA</v>
      </c>
      <c r="V159" s="3" t="s">
        <v>27</v>
      </c>
      <c r="W159">
        <v>30</v>
      </c>
      <c r="Y159">
        <f t="shared" si="18"/>
        <v>44</v>
      </c>
    </row>
    <row r="160" spans="1:25" ht="15.75" hidden="1" customHeight="1" x14ac:dyDescent="0.35">
      <c r="A160" s="3">
        <v>17054</v>
      </c>
      <c r="B160" s="3" t="s">
        <v>23</v>
      </c>
      <c r="C160" s="2">
        <v>46179</v>
      </c>
      <c r="D160" s="2">
        <v>46174</v>
      </c>
      <c r="E160" s="2">
        <v>46122</v>
      </c>
      <c r="F160" s="2">
        <v>46152</v>
      </c>
      <c r="G160" t="s">
        <v>240</v>
      </c>
      <c r="H160" t="s">
        <v>227</v>
      </c>
      <c r="I160" t="s">
        <v>91</v>
      </c>
      <c r="J160">
        <v>22</v>
      </c>
      <c r="K160">
        <v>24</v>
      </c>
      <c r="L160">
        <f t="shared" si="15"/>
        <v>2</v>
      </c>
      <c r="M160">
        <v>5</v>
      </c>
      <c r="O160">
        <v>5</v>
      </c>
      <c r="S160">
        <v>3</v>
      </c>
      <c r="T160" s="3">
        <f t="shared" si="16"/>
        <v>8</v>
      </c>
      <c r="U160" s="3" t="str">
        <f t="shared" si="17"/>
        <v>USTED ESTÁ AL DÍA</v>
      </c>
      <c r="V160" s="3" t="s">
        <v>27</v>
      </c>
      <c r="Y160">
        <f t="shared" si="18"/>
        <v>8</v>
      </c>
    </row>
    <row r="161" spans="1:25" ht="15.75" hidden="1" customHeight="1" x14ac:dyDescent="0.35">
      <c r="A161" s="3">
        <v>17055</v>
      </c>
      <c r="B161" s="3" t="s">
        <v>23</v>
      </c>
      <c r="C161" s="2">
        <v>46179</v>
      </c>
      <c r="D161" s="2">
        <v>46174</v>
      </c>
      <c r="E161" s="2">
        <v>46122</v>
      </c>
      <c r="F161" s="2">
        <v>46152</v>
      </c>
      <c r="G161" t="s">
        <v>241</v>
      </c>
      <c r="H161" t="s">
        <v>227</v>
      </c>
      <c r="I161" t="s">
        <v>242</v>
      </c>
      <c r="J161">
        <v>343</v>
      </c>
      <c r="K161">
        <v>351</v>
      </c>
      <c r="L161">
        <f t="shared" si="15"/>
        <v>8</v>
      </c>
      <c r="M161">
        <v>8</v>
      </c>
      <c r="N161">
        <f>IF(L161&lt;&gt;M161,1,0)</f>
        <v>0</v>
      </c>
      <c r="O161">
        <v>8</v>
      </c>
      <c r="S161">
        <v>3</v>
      </c>
      <c r="T161" s="3">
        <f t="shared" si="16"/>
        <v>11</v>
      </c>
      <c r="U161" s="3" t="str">
        <f t="shared" si="17"/>
        <v>USTED ESTÁ AL DÍA</v>
      </c>
      <c r="V161" s="3" t="s">
        <v>27</v>
      </c>
      <c r="Y161">
        <f t="shared" si="18"/>
        <v>11</v>
      </c>
    </row>
    <row r="162" spans="1:25" ht="15.75" hidden="1" customHeight="1" x14ac:dyDescent="0.35">
      <c r="A162" s="3">
        <v>17056</v>
      </c>
      <c r="B162" s="3" t="s">
        <v>23</v>
      </c>
      <c r="C162" s="2">
        <v>46179</v>
      </c>
      <c r="D162" s="2">
        <v>46174</v>
      </c>
      <c r="E162" s="2">
        <v>46122</v>
      </c>
      <c r="F162" s="2">
        <v>46152</v>
      </c>
      <c r="G162" t="s">
        <v>243</v>
      </c>
      <c r="H162" t="s">
        <v>227</v>
      </c>
      <c r="I162" t="s">
        <v>244</v>
      </c>
      <c r="L162">
        <f t="shared" si="15"/>
        <v>0</v>
      </c>
      <c r="S162">
        <v>0</v>
      </c>
      <c r="T162" s="3">
        <f t="shared" si="16"/>
        <v>0</v>
      </c>
      <c r="U162" s="3" t="str">
        <f t="shared" si="17"/>
        <v>USTED ESTÁ AL DÍA</v>
      </c>
      <c r="V162" s="3" t="s">
        <v>27</v>
      </c>
      <c r="W162">
        <v>20</v>
      </c>
      <c r="Y162">
        <f t="shared" si="18"/>
        <v>20</v>
      </c>
    </row>
    <row r="163" spans="1:25" ht="15.75" hidden="1" customHeight="1" x14ac:dyDescent="0.35">
      <c r="A163" s="3">
        <v>17057</v>
      </c>
      <c r="B163" s="3" t="s">
        <v>23</v>
      </c>
      <c r="C163" s="2">
        <v>46179</v>
      </c>
      <c r="D163" s="2">
        <v>46174</v>
      </c>
      <c r="E163" s="2">
        <v>46122</v>
      </c>
      <c r="F163" s="2">
        <v>46152</v>
      </c>
      <c r="G163" t="s">
        <v>245</v>
      </c>
      <c r="H163" t="s">
        <v>227</v>
      </c>
      <c r="I163" t="s">
        <v>35</v>
      </c>
      <c r="L163">
        <f t="shared" si="15"/>
        <v>0</v>
      </c>
      <c r="S163">
        <v>0</v>
      </c>
      <c r="T163" s="3">
        <f t="shared" si="16"/>
        <v>0</v>
      </c>
      <c r="U163" s="3" t="str">
        <f t="shared" si="17"/>
        <v>USTED ESTÁ AL DÍA</v>
      </c>
      <c r="V163" s="3" t="s">
        <v>27</v>
      </c>
      <c r="W163">
        <v>50</v>
      </c>
      <c r="X163">
        <v>75</v>
      </c>
      <c r="Y163">
        <f t="shared" si="18"/>
        <v>125</v>
      </c>
    </row>
    <row r="164" spans="1:25" ht="15.75" hidden="1" customHeight="1" x14ac:dyDescent="0.35">
      <c r="A164" s="3">
        <v>17058</v>
      </c>
      <c r="B164" s="3" t="s">
        <v>23</v>
      </c>
      <c r="C164" s="2">
        <v>46179</v>
      </c>
      <c r="D164" s="2">
        <v>46174</v>
      </c>
      <c r="E164" s="2">
        <v>46122</v>
      </c>
      <c r="F164" s="2">
        <v>46152</v>
      </c>
      <c r="G164" t="s">
        <v>246</v>
      </c>
      <c r="H164" t="s">
        <v>247</v>
      </c>
      <c r="I164" t="s">
        <v>26</v>
      </c>
      <c r="J164">
        <v>891</v>
      </c>
      <c r="K164">
        <v>891</v>
      </c>
      <c r="L164">
        <f t="shared" si="15"/>
        <v>0</v>
      </c>
      <c r="M164">
        <v>5</v>
      </c>
      <c r="O164">
        <v>5</v>
      </c>
      <c r="S164">
        <v>3</v>
      </c>
      <c r="T164" s="3">
        <f t="shared" si="16"/>
        <v>8</v>
      </c>
      <c r="U164" s="3" t="str">
        <f t="shared" si="17"/>
        <v>USTED ESTÁ AL DÍA</v>
      </c>
      <c r="V164" s="3" t="s">
        <v>27</v>
      </c>
      <c r="W164">
        <v>50</v>
      </c>
      <c r="Y164">
        <f t="shared" si="18"/>
        <v>58</v>
      </c>
    </row>
    <row r="165" spans="1:25" ht="15.75" hidden="1" customHeight="1" x14ac:dyDescent="0.35">
      <c r="A165" s="3">
        <v>17059</v>
      </c>
      <c r="B165" s="3" t="s">
        <v>23</v>
      </c>
      <c r="C165" s="2">
        <v>46179</v>
      </c>
      <c r="D165" s="2">
        <v>46174</v>
      </c>
      <c r="E165" s="2">
        <v>46122</v>
      </c>
      <c r="F165" s="2">
        <v>46152</v>
      </c>
      <c r="G165" t="s">
        <v>248</v>
      </c>
      <c r="H165" t="s">
        <v>247</v>
      </c>
      <c r="I165" t="s">
        <v>31</v>
      </c>
      <c r="J165">
        <v>82</v>
      </c>
      <c r="K165">
        <v>88</v>
      </c>
      <c r="L165">
        <f t="shared" si="15"/>
        <v>6</v>
      </c>
      <c r="M165">
        <v>6</v>
      </c>
      <c r="N165">
        <f>IF(L165&lt;&gt;M165,1,0)</f>
        <v>0</v>
      </c>
      <c r="O165">
        <v>6</v>
      </c>
      <c r="S165">
        <v>3</v>
      </c>
      <c r="T165" s="3">
        <f t="shared" si="16"/>
        <v>9</v>
      </c>
      <c r="U165" s="3" t="str">
        <f t="shared" si="17"/>
        <v>USTED ESTÁ AL DÍA</v>
      </c>
      <c r="V165" s="3" t="s">
        <v>27</v>
      </c>
      <c r="W165">
        <v>50</v>
      </c>
      <c r="X165">
        <v>75</v>
      </c>
      <c r="Y165">
        <f t="shared" si="18"/>
        <v>134</v>
      </c>
    </row>
    <row r="166" spans="1:25" ht="15.75" hidden="1" customHeight="1" x14ac:dyDescent="0.35">
      <c r="A166" s="3">
        <v>17060</v>
      </c>
      <c r="B166" s="3" t="s">
        <v>23</v>
      </c>
      <c r="C166" s="2">
        <v>46179</v>
      </c>
      <c r="D166" s="2">
        <v>46174</v>
      </c>
      <c r="E166" s="2">
        <v>46122</v>
      </c>
      <c r="F166" s="2">
        <v>46152</v>
      </c>
      <c r="G166" t="s">
        <v>249</v>
      </c>
      <c r="H166" t="s">
        <v>247</v>
      </c>
      <c r="I166" t="s">
        <v>33</v>
      </c>
      <c r="J166">
        <v>1018</v>
      </c>
      <c r="K166">
        <v>1019</v>
      </c>
      <c r="L166">
        <f t="shared" si="15"/>
        <v>1</v>
      </c>
      <c r="M166">
        <v>5</v>
      </c>
      <c r="O166">
        <v>5</v>
      </c>
      <c r="S166">
        <v>3</v>
      </c>
      <c r="T166" s="3">
        <f t="shared" si="16"/>
        <v>8</v>
      </c>
      <c r="U166" s="3" t="str">
        <f t="shared" si="17"/>
        <v>USTED ESTÁ AL DÍA</v>
      </c>
      <c r="V166" s="3" t="s">
        <v>27</v>
      </c>
      <c r="W166">
        <v>20</v>
      </c>
      <c r="Y166">
        <f t="shared" si="18"/>
        <v>28</v>
      </c>
    </row>
    <row r="167" spans="1:25" ht="15.75" hidden="1" customHeight="1" x14ac:dyDescent="0.35">
      <c r="A167" s="3">
        <v>17061</v>
      </c>
      <c r="B167" s="3" t="s">
        <v>23</v>
      </c>
      <c r="C167" s="2">
        <v>46179</v>
      </c>
      <c r="D167" s="2">
        <v>46174</v>
      </c>
      <c r="E167" s="2">
        <v>46122</v>
      </c>
      <c r="F167" s="2">
        <v>46152</v>
      </c>
      <c r="G167" t="s">
        <v>250</v>
      </c>
      <c r="H167" t="s">
        <v>247</v>
      </c>
      <c r="I167" t="s">
        <v>39</v>
      </c>
      <c r="J167">
        <v>326</v>
      </c>
      <c r="K167">
        <v>337</v>
      </c>
      <c r="L167">
        <f t="shared" si="15"/>
        <v>11</v>
      </c>
      <c r="M167">
        <v>11</v>
      </c>
      <c r="N167">
        <f>IF(L167&lt;&gt;M167,1,0)</f>
        <v>0</v>
      </c>
      <c r="O167">
        <v>11</v>
      </c>
      <c r="S167">
        <v>3</v>
      </c>
      <c r="T167" s="3">
        <f t="shared" si="16"/>
        <v>14</v>
      </c>
      <c r="U167" s="3" t="str">
        <f t="shared" si="17"/>
        <v>USTED ESTÁ AL DÍA</v>
      </c>
      <c r="V167" s="3" t="s">
        <v>27</v>
      </c>
      <c r="W167">
        <v>30</v>
      </c>
      <c r="Y167">
        <f t="shared" si="18"/>
        <v>44</v>
      </c>
    </row>
    <row r="168" spans="1:25" ht="15.75" hidden="1" customHeight="1" x14ac:dyDescent="0.35">
      <c r="A168" s="3">
        <v>17062</v>
      </c>
      <c r="B168" s="3" t="s">
        <v>23</v>
      </c>
      <c r="C168" s="2">
        <v>46179</v>
      </c>
      <c r="D168" s="2">
        <v>46174</v>
      </c>
      <c r="E168" s="2">
        <v>46122</v>
      </c>
      <c r="F168" s="2">
        <v>46152</v>
      </c>
      <c r="G168" t="s">
        <v>251</v>
      </c>
      <c r="H168" t="s">
        <v>247</v>
      </c>
      <c r="I168" t="s">
        <v>41</v>
      </c>
      <c r="J168">
        <v>368</v>
      </c>
      <c r="K168">
        <v>374</v>
      </c>
      <c r="L168">
        <f t="shared" si="15"/>
        <v>6</v>
      </c>
      <c r="M168">
        <v>6</v>
      </c>
      <c r="N168">
        <f>IF(L168&lt;&gt;M168,1,0)</f>
        <v>0</v>
      </c>
      <c r="O168">
        <v>6</v>
      </c>
      <c r="S168">
        <v>3</v>
      </c>
      <c r="T168" s="3">
        <f t="shared" si="16"/>
        <v>9</v>
      </c>
      <c r="U168" s="3" t="str">
        <f t="shared" si="17"/>
        <v>USTED ESTÁ AL DÍA</v>
      </c>
      <c r="V168" s="3" t="s">
        <v>27</v>
      </c>
      <c r="W168">
        <v>30</v>
      </c>
      <c r="Y168">
        <f t="shared" si="18"/>
        <v>39</v>
      </c>
    </row>
    <row r="169" spans="1:25" ht="15.75" hidden="1" customHeight="1" x14ac:dyDescent="0.35">
      <c r="A169" s="3">
        <v>17063</v>
      </c>
      <c r="B169" s="3" t="s">
        <v>23</v>
      </c>
      <c r="C169" s="2">
        <v>46179</v>
      </c>
      <c r="D169" s="2">
        <v>46174</v>
      </c>
      <c r="E169" s="2">
        <v>46122</v>
      </c>
      <c r="F169" s="2">
        <v>46152</v>
      </c>
      <c r="G169" t="s">
        <v>252</v>
      </c>
      <c r="H169" t="s">
        <v>247</v>
      </c>
      <c r="I169" t="s">
        <v>43</v>
      </c>
      <c r="J169">
        <v>75</v>
      </c>
      <c r="K169">
        <v>83</v>
      </c>
      <c r="L169">
        <f t="shared" si="15"/>
        <v>8</v>
      </c>
      <c r="M169">
        <v>8</v>
      </c>
      <c r="N169">
        <f>IF(L169&lt;&gt;M169,1,0)</f>
        <v>0</v>
      </c>
      <c r="O169">
        <v>8</v>
      </c>
      <c r="S169">
        <v>3</v>
      </c>
      <c r="T169" s="3">
        <f t="shared" si="16"/>
        <v>11</v>
      </c>
      <c r="U169" s="3" t="str">
        <f t="shared" si="17"/>
        <v>USTED ESTÁ AL DÍA</v>
      </c>
      <c r="V169" s="3" t="s">
        <v>27</v>
      </c>
      <c r="W169">
        <v>30</v>
      </c>
      <c r="Y169">
        <f t="shared" si="18"/>
        <v>41</v>
      </c>
    </row>
    <row r="170" spans="1:25" ht="15.75" hidden="1" customHeight="1" x14ac:dyDescent="0.35">
      <c r="A170" s="3">
        <v>17064</v>
      </c>
      <c r="B170" s="3" t="s">
        <v>23</v>
      </c>
      <c r="C170" s="2">
        <v>46179</v>
      </c>
      <c r="D170" s="2">
        <v>46174</v>
      </c>
      <c r="E170" s="2">
        <v>46122</v>
      </c>
      <c r="F170" s="2">
        <v>46152</v>
      </c>
      <c r="G170" t="s">
        <v>253</v>
      </c>
      <c r="H170" t="s">
        <v>247</v>
      </c>
      <c r="I170" t="s">
        <v>37</v>
      </c>
      <c r="J170">
        <v>0</v>
      </c>
      <c r="K170">
        <v>0</v>
      </c>
      <c r="L170">
        <f t="shared" si="15"/>
        <v>0</v>
      </c>
      <c r="M170">
        <v>5</v>
      </c>
      <c r="O170">
        <v>5</v>
      </c>
      <c r="P170">
        <v>16</v>
      </c>
      <c r="Q170">
        <v>40</v>
      </c>
      <c r="S170">
        <v>3</v>
      </c>
      <c r="T170" s="3">
        <f t="shared" si="16"/>
        <v>64</v>
      </c>
      <c r="U170" s="3" t="str">
        <f t="shared" si="17"/>
        <v>USTED NO ESTÁ AL DÍA</v>
      </c>
      <c r="V170" s="3" t="s">
        <v>27</v>
      </c>
      <c r="W170">
        <v>30</v>
      </c>
      <c r="Y170">
        <f t="shared" si="18"/>
        <v>94</v>
      </c>
    </row>
    <row r="171" spans="1:25" ht="15.75" hidden="1" customHeight="1" x14ac:dyDescent="0.35">
      <c r="A171" s="3">
        <v>17065</v>
      </c>
      <c r="B171" s="3" t="s">
        <v>23</v>
      </c>
      <c r="C171" s="2">
        <v>46179</v>
      </c>
      <c r="D171" s="2">
        <v>46174</v>
      </c>
      <c r="E171" s="2">
        <v>46122</v>
      </c>
      <c r="F171" s="2">
        <v>46152</v>
      </c>
      <c r="G171" t="s">
        <v>254</v>
      </c>
      <c r="H171" t="s">
        <v>247</v>
      </c>
      <c r="I171" t="s">
        <v>29</v>
      </c>
      <c r="L171">
        <f t="shared" si="15"/>
        <v>0</v>
      </c>
      <c r="S171">
        <v>0</v>
      </c>
      <c r="T171" s="3">
        <f t="shared" si="16"/>
        <v>0</v>
      </c>
      <c r="U171" s="3" t="str">
        <f t="shared" si="17"/>
        <v>USTED ESTÁ AL DÍA</v>
      </c>
      <c r="V171" s="3" t="s">
        <v>27</v>
      </c>
      <c r="W171">
        <v>50</v>
      </c>
      <c r="X171">
        <v>50</v>
      </c>
      <c r="Y171">
        <f t="shared" si="18"/>
        <v>100</v>
      </c>
    </row>
    <row r="172" spans="1:25" ht="15.75" hidden="1" customHeight="1" x14ac:dyDescent="0.35">
      <c r="A172" s="3">
        <v>17066</v>
      </c>
      <c r="B172" s="3" t="s">
        <v>23</v>
      </c>
      <c r="C172" s="2">
        <v>46179</v>
      </c>
      <c r="D172" s="2">
        <v>46174</v>
      </c>
      <c r="E172" s="2">
        <v>46122</v>
      </c>
      <c r="F172" s="2">
        <v>46152</v>
      </c>
      <c r="G172" t="s">
        <v>255</v>
      </c>
      <c r="H172" t="s">
        <v>247</v>
      </c>
      <c r="I172" t="s">
        <v>35</v>
      </c>
      <c r="L172">
        <f t="shared" si="15"/>
        <v>0</v>
      </c>
      <c r="S172">
        <v>0</v>
      </c>
      <c r="T172" s="3">
        <f t="shared" si="16"/>
        <v>0</v>
      </c>
      <c r="U172" s="3" t="str">
        <f t="shared" si="17"/>
        <v>USTED ESTÁ AL DÍA</v>
      </c>
      <c r="V172" s="3" t="s">
        <v>27</v>
      </c>
      <c r="Y172">
        <f t="shared" si="18"/>
        <v>0</v>
      </c>
    </row>
    <row r="173" spans="1:25" ht="15.75" hidden="1" customHeight="1" x14ac:dyDescent="0.35">
      <c r="A173" s="3">
        <v>17067</v>
      </c>
      <c r="B173" s="3" t="s">
        <v>23</v>
      </c>
      <c r="C173" s="2">
        <v>46179</v>
      </c>
      <c r="D173" s="2">
        <v>46174</v>
      </c>
      <c r="E173" s="2">
        <v>46122</v>
      </c>
      <c r="F173" s="2">
        <v>46152</v>
      </c>
      <c r="G173" t="s">
        <v>256</v>
      </c>
      <c r="H173" t="s">
        <v>257</v>
      </c>
      <c r="I173" t="s">
        <v>31</v>
      </c>
      <c r="J173">
        <v>4</v>
      </c>
      <c r="K173">
        <v>4</v>
      </c>
      <c r="L173">
        <f t="shared" si="15"/>
        <v>0</v>
      </c>
      <c r="M173">
        <v>5</v>
      </c>
      <c r="O173">
        <v>5</v>
      </c>
      <c r="P173">
        <v>8</v>
      </c>
      <c r="S173">
        <v>3</v>
      </c>
      <c r="T173" s="3">
        <f t="shared" si="16"/>
        <v>16</v>
      </c>
      <c r="U173" s="3" t="str">
        <f t="shared" si="17"/>
        <v>USTED NO ESTÁ AL DÍA</v>
      </c>
      <c r="V173" s="3" t="s">
        <v>27</v>
      </c>
      <c r="X173">
        <v>50</v>
      </c>
      <c r="Y173">
        <f t="shared" si="18"/>
        <v>66</v>
      </c>
    </row>
    <row r="174" spans="1:25" ht="15.75" hidden="1" customHeight="1" x14ac:dyDescent="0.35">
      <c r="A174" s="3">
        <v>17068</v>
      </c>
      <c r="B174" s="3" t="s">
        <v>23</v>
      </c>
      <c r="C174" s="2">
        <v>46179</v>
      </c>
      <c r="D174" s="2">
        <v>46174</v>
      </c>
      <c r="E174" s="2">
        <v>46122</v>
      </c>
      <c r="F174" s="2">
        <v>46152</v>
      </c>
      <c r="G174" t="s">
        <v>258</v>
      </c>
      <c r="H174" t="s">
        <v>257</v>
      </c>
      <c r="I174" t="s">
        <v>66</v>
      </c>
      <c r="J174">
        <v>2</v>
      </c>
      <c r="K174">
        <v>6</v>
      </c>
      <c r="L174">
        <f t="shared" si="15"/>
        <v>4</v>
      </c>
      <c r="M174">
        <v>5</v>
      </c>
      <c r="O174">
        <v>5</v>
      </c>
      <c r="P174">
        <v>8</v>
      </c>
      <c r="R174">
        <v>25</v>
      </c>
      <c r="S174">
        <v>3</v>
      </c>
      <c r="T174" s="3">
        <f t="shared" si="16"/>
        <v>41</v>
      </c>
      <c r="U174" s="3" t="str">
        <f t="shared" si="17"/>
        <v>USTED NO ESTÁ AL DÍA</v>
      </c>
      <c r="V174" s="3" t="s">
        <v>27</v>
      </c>
      <c r="W174">
        <v>50</v>
      </c>
      <c r="X174">
        <v>50</v>
      </c>
      <c r="Y174">
        <f t="shared" si="18"/>
        <v>141</v>
      </c>
    </row>
    <row r="175" spans="1:25" ht="15.75" hidden="1" customHeight="1" x14ac:dyDescent="0.35">
      <c r="A175" s="3">
        <v>17069</v>
      </c>
      <c r="B175" s="3" t="s">
        <v>23</v>
      </c>
      <c r="C175" s="2">
        <v>46179</v>
      </c>
      <c r="D175" s="2">
        <v>46174</v>
      </c>
      <c r="E175" s="2">
        <v>46122</v>
      </c>
      <c r="F175" s="2">
        <v>46152</v>
      </c>
      <c r="G175" t="s">
        <v>259</v>
      </c>
      <c r="H175" t="s">
        <v>257</v>
      </c>
      <c r="I175" t="s">
        <v>68</v>
      </c>
      <c r="J175">
        <v>742</v>
      </c>
      <c r="K175">
        <v>751</v>
      </c>
      <c r="L175">
        <f t="shared" si="15"/>
        <v>9</v>
      </c>
      <c r="M175">
        <v>9</v>
      </c>
      <c r="N175">
        <f t="shared" ref="N175:N185" si="20">IF(L175&lt;&gt;M175,1,0)</f>
        <v>0</v>
      </c>
      <c r="O175">
        <v>9</v>
      </c>
      <c r="P175">
        <v>13</v>
      </c>
      <c r="S175">
        <v>3</v>
      </c>
      <c r="T175" s="3">
        <f t="shared" si="16"/>
        <v>25</v>
      </c>
      <c r="U175" s="3" t="str">
        <f t="shared" si="17"/>
        <v>USTED NO ESTÁ AL DÍA</v>
      </c>
      <c r="V175" s="3" t="s">
        <v>27</v>
      </c>
      <c r="W175">
        <v>30</v>
      </c>
      <c r="Y175">
        <f t="shared" si="18"/>
        <v>55</v>
      </c>
    </row>
    <row r="176" spans="1:25" ht="15.75" hidden="1" customHeight="1" x14ac:dyDescent="0.35">
      <c r="A176" s="3">
        <v>17070</v>
      </c>
      <c r="B176" s="3" t="s">
        <v>23</v>
      </c>
      <c r="C176" s="2">
        <v>46179</v>
      </c>
      <c r="D176" s="2">
        <v>46174</v>
      </c>
      <c r="E176" s="2">
        <v>46122</v>
      </c>
      <c r="F176" s="2">
        <v>46152</v>
      </c>
      <c r="G176" t="s">
        <v>260</v>
      </c>
      <c r="H176" t="s">
        <v>257</v>
      </c>
      <c r="I176" t="s">
        <v>26</v>
      </c>
      <c r="J176">
        <v>847</v>
      </c>
      <c r="K176">
        <v>865</v>
      </c>
      <c r="L176">
        <f t="shared" si="15"/>
        <v>18</v>
      </c>
      <c r="M176">
        <v>18</v>
      </c>
      <c r="N176">
        <f t="shared" si="20"/>
        <v>0</v>
      </c>
      <c r="O176">
        <v>18</v>
      </c>
      <c r="S176">
        <v>3</v>
      </c>
      <c r="T176" s="3">
        <f t="shared" si="16"/>
        <v>21</v>
      </c>
      <c r="U176" s="3" t="str">
        <f t="shared" si="17"/>
        <v>USTED ESTÁ AL DÍA</v>
      </c>
      <c r="V176" s="3" t="s">
        <v>27</v>
      </c>
      <c r="W176">
        <v>20</v>
      </c>
      <c r="Y176">
        <f t="shared" si="18"/>
        <v>41</v>
      </c>
    </row>
    <row r="177" spans="1:25" ht="15.75" hidden="1" customHeight="1" x14ac:dyDescent="0.35">
      <c r="A177" s="3">
        <v>17071</v>
      </c>
      <c r="B177" s="3" t="s">
        <v>23</v>
      </c>
      <c r="C177" s="2">
        <v>46179</v>
      </c>
      <c r="D177" s="2">
        <v>46174</v>
      </c>
      <c r="E177" s="2">
        <v>46122</v>
      </c>
      <c r="F177" s="2">
        <v>46152</v>
      </c>
      <c r="G177" t="s">
        <v>261</v>
      </c>
      <c r="H177" t="s">
        <v>257</v>
      </c>
      <c r="I177" t="s">
        <v>33</v>
      </c>
      <c r="J177">
        <v>737</v>
      </c>
      <c r="K177">
        <v>755</v>
      </c>
      <c r="L177">
        <f t="shared" si="15"/>
        <v>18</v>
      </c>
      <c r="M177">
        <v>18</v>
      </c>
      <c r="N177">
        <f t="shared" si="20"/>
        <v>0</v>
      </c>
      <c r="O177">
        <v>18</v>
      </c>
      <c r="S177">
        <v>3</v>
      </c>
      <c r="T177" s="3">
        <f t="shared" si="16"/>
        <v>21</v>
      </c>
      <c r="U177" s="3" t="str">
        <f t="shared" si="17"/>
        <v>USTED ESTÁ AL DÍA</v>
      </c>
      <c r="V177" s="3" t="s">
        <v>27</v>
      </c>
      <c r="W177">
        <v>50</v>
      </c>
      <c r="X177">
        <v>75</v>
      </c>
      <c r="Y177">
        <f t="shared" si="18"/>
        <v>146</v>
      </c>
    </row>
    <row r="178" spans="1:25" ht="15.75" hidden="1" customHeight="1" x14ac:dyDescent="0.35">
      <c r="A178" s="3">
        <v>17072</v>
      </c>
      <c r="B178" s="3" t="s">
        <v>23</v>
      </c>
      <c r="C178" s="2">
        <v>46179</v>
      </c>
      <c r="D178" s="2">
        <v>46174</v>
      </c>
      <c r="E178" s="2">
        <v>46122</v>
      </c>
      <c r="F178" s="2">
        <v>46152</v>
      </c>
      <c r="G178" t="s">
        <v>262</v>
      </c>
      <c r="H178" t="s">
        <v>257</v>
      </c>
      <c r="I178" t="s">
        <v>35</v>
      </c>
      <c r="J178">
        <v>2269</v>
      </c>
      <c r="K178">
        <v>2305</v>
      </c>
      <c r="L178">
        <f t="shared" si="15"/>
        <v>36</v>
      </c>
      <c r="M178">
        <v>36</v>
      </c>
      <c r="N178">
        <f t="shared" si="20"/>
        <v>0</v>
      </c>
      <c r="O178">
        <v>36</v>
      </c>
      <c r="S178">
        <v>3</v>
      </c>
      <c r="T178" s="3">
        <f t="shared" si="16"/>
        <v>39</v>
      </c>
      <c r="U178" s="3" t="str">
        <f t="shared" si="17"/>
        <v>USTED ESTÁ AL DÍA</v>
      </c>
      <c r="V178" s="3" t="s">
        <v>27</v>
      </c>
      <c r="W178">
        <v>30</v>
      </c>
      <c r="Y178">
        <f t="shared" si="18"/>
        <v>69</v>
      </c>
    </row>
    <row r="179" spans="1:25" ht="15.75" hidden="1" customHeight="1" x14ac:dyDescent="0.35">
      <c r="A179" s="3">
        <v>17073</v>
      </c>
      <c r="B179" s="3" t="s">
        <v>23</v>
      </c>
      <c r="C179" s="2">
        <v>46179</v>
      </c>
      <c r="D179" s="2">
        <v>46174</v>
      </c>
      <c r="E179" s="2">
        <v>46122</v>
      </c>
      <c r="F179" s="2">
        <v>46152</v>
      </c>
      <c r="G179" t="s">
        <v>263</v>
      </c>
      <c r="H179" t="s">
        <v>257</v>
      </c>
      <c r="I179" t="s">
        <v>37</v>
      </c>
      <c r="J179">
        <v>34</v>
      </c>
      <c r="K179">
        <v>41</v>
      </c>
      <c r="L179">
        <f t="shared" si="15"/>
        <v>7</v>
      </c>
      <c r="M179">
        <v>7</v>
      </c>
      <c r="N179">
        <f t="shared" si="20"/>
        <v>0</v>
      </c>
      <c r="O179">
        <v>7</v>
      </c>
      <c r="R179">
        <v>25</v>
      </c>
      <c r="S179">
        <v>3</v>
      </c>
      <c r="T179" s="3">
        <f t="shared" si="16"/>
        <v>35</v>
      </c>
      <c r="U179" s="3" t="str">
        <f t="shared" si="17"/>
        <v>USTED ESTÁ AL DÍA</v>
      </c>
      <c r="V179" s="3" t="s">
        <v>27</v>
      </c>
      <c r="X179">
        <v>75</v>
      </c>
      <c r="Y179">
        <f t="shared" si="18"/>
        <v>110</v>
      </c>
    </row>
    <row r="180" spans="1:25" ht="15.75" hidden="1" customHeight="1" x14ac:dyDescent="0.35">
      <c r="A180" s="3">
        <v>17074</v>
      </c>
      <c r="B180" s="3" t="s">
        <v>23</v>
      </c>
      <c r="C180" s="2">
        <v>46179</v>
      </c>
      <c r="D180" s="2">
        <v>46174</v>
      </c>
      <c r="E180" s="2">
        <v>46122</v>
      </c>
      <c r="F180" s="2">
        <v>46152</v>
      </c>
      <c r="G180" t="s">
        <v>264</v>
      </c>
      <c r="H180" t="s">
        <v>257</v>
      </c>
      <c r="I180" t="s">
        <v>39</v>
      </c>
      <c r="J180">
        <v>201</v>
      </c>
      <c r="K180">
        <v>258</v>
      </c>
      <c r="L180">
        <f t="shared" si="15"/>
        <v>57</v>
      </c>
      <c r="M180">
        <v>57</v>
      </c>
      <c r="N180">
        <f t="shared" si="20"/>
        <v>0</v>
      </c>
      <c r="O180">
        <v>57</v>
      </c>
      <c r="R180">
        <v>25</v>
      </c>
      <c r="S180">
        <v>3</v>
      </c>
      <c r="T180" s="3">
        <f t="shared" si="16"/>
        <v>85</v>
      </c>
      <c r="U180" s="3" t="str">
        <f t="shared" si="17"/>
        <v>USTED ESTÁ AL DÍA</v>
      </c>
      <c r="V180" s="3" t="s">
        <v>27</v>
      </c>
      <c r="W180">
        <v>20</v>
      </c>
      <c r="X180">
        <v>50</v>
      </c>
      <c r="Y180">
        <f t="shared" si="18"/>
        <v>155</v>
      </c>
    </row>
    <row r="181" spans="1:25" ht="15.75" hidden="1" customHeight="1" x14ac:dyDescent="0.35">
      <c r="A181" s="3">
        <v>17075</v>
      </c>
      <c r="B181" s="3" t="s">
        <v>23</v>
      </c>
      <c r="C181" s="2">
        <v>46179</v>
      </c>
      <c r="D181" s="2">
        <v>46174</v>
      </c>
      <c r="E181" s="2">
        <v>46122</v>
      </c>
      <c r="F181" s="2">
        <v>46152</v>
      </c>
      <c r="G181" t="s">
        <v>265</v>
      </c>
      <c r="H181" t="s">
        <v>257</v>
      </c>
      <c r="I181" t="s">
        <v>41</v>
      </c>
      <c r="J181">
        <v>26</v>
      </c>
      <c r="K181">
        <v>35</v>
      </c>
      <c r="L181">
        <f t="shared" si="15"/>
        <v>9</v>
      </c>
      <c r="M181">
        <v>9</v>
      </c>
      <c r="N181">
        <f t="shared" si="20"/>
        <v>0</v>
      </c>
      <c r="O181">
        <v>9</v>
      </c>
      <c r="R181">
        <v>25</v>
      </c>
      <c r="S181">
        <v>3</v>
      </c>
      <c r="T181" s="3">
        <f t="shared" si="16"/>
        <v>37</v>
      </c>
      <c r="U181" s="3" t="str">
        <f t="shared" si="17"/>
        <v>USTED ESTÁ AL DÍA</v>
      </c>
      <c r="V181" s="3" t="s">
        <v>27</v>
      </c>
      <c r="Y181">
        <f t="shared" si="18"/>
        <v>37</v>
      </c>
    </row>
    <row r="182" spans="1:25" ht="15.75" hidden="1" customHeight="1" x14ac:dyDescent="0.35">
      <c r="A182" s="3">
        <v>17076</v>
      </c>
      <c r="B182" s="3" t="s">
        <v>23</v>
      </c>
      <c r="C182" s="2">
        <v>46179</v>
      </c>
      <c r="D182" s="2">
        <v>46174</v>
      </c>
      <c r="E182" s="2">
        <v>46122</v>
      </c>
      <c r="F182" s="2">
        <v>46152</v>
      </c>
      <c r="G182" t="s">
        <v>266</v>
      </c>
      <c r="H182" t="s">
        <v>257</v>
      </c>
      <c r="I182" t="s">
        <v>43</v>
      </c>
      <c r="J182">
        <v>63</v>
      </c>
      <c r="K182">
        <v>87</v>
      </c>
      <c r="L182">
        <f t="shared" si="15"/>
        <v>24</v>
      </c>
      <c r="M182">
        <v>24</v>
      </c>
      <c r="N182">
        <f t="shared" si="20"/>
        <v>0</v>
      </c>
      <c r="O182">
        <v>24</v>
      </c>
      <c r="R182">
        <v>25</v>
      </c>
      <c r="S182">
        <v>3</v>
      </c>
      <c r="T182" s="3">
        <f t="shared" si="16"/>
        <v>52</v>
      </c>
      <c r="U182" s="3" t="str">
        <f t="shared" si="17"/>
        <v>USTED ESTÁ AL DÍA</v>
      </c>
      <c r="V182" s="3" t="s">
        <v>27</v>
      </c>
      <c r="Y182">
        <f t="shared" si="18"/>
        <v>52</v>
      </c>
    </row>
    <row r="183" spans="1:25" ht="15.75" hidden="1" customHeight="1" x14ac:dyDescent="0.35">
      <c r="A183" s="3">
        <v>17077</v>
      </c>
      <c r="B183" s="3" t="s">
        <v>23</v>
      </c>
      <c r="C183" s="2">
        <v>46179</v>
      </c>
      <c r="D183" s="2">
        <v>46174</v>
      </c>
      <c r="E183" s="2">
        <v>46122</v>
      </c>
      <c r="F183" s="2">
        <v>46152</v>
      </c>
      <c r="G183" t="s">
        <v>267</v>
      </c>
      <c r="H183" t="s">
        <v>257</v>
      </c>
      <c r="I183" t="s">
        <v>45</v>
      </c>
      <c r="J183">
        <v>302</v>
      </c>
      <c r="K183">
        <v>320</v>
      </c>
      <c r="L183">
        <f t="shared" si="15"/>
        <v>18</v>
      </c>
      <c r="M183">
        <v>18</v>
      </c>
      <c r="N183">
        <f t="shared" si="20"/>
        <v>0</v>
      </c>
      <c r="O183">
        <v>18</v>
      </c>
      <c r="S183">
        <v>3</v>
      </c>
      <c r="T183" s="3">
        <f t="shared" si="16"/>
        <v>21</v>
      </c>
      <c r="U183" s="3" t="str">
        <f t="shared" si="17"/>
        <v>USTED ESTÁ AL DÍA</v>
      </c>
      <c r="V183" s="3" t="s">
        <v>27</v>
      </c>
      <c r="W183">
        <v>50</v>
      </c>
      <c r="X183">
        <v>75</v>
      </c>
      <c r="Y183">
        <f t="shared" si="18"/>
        <v>146</v>
      </c>
    </row>
    <row r="184" spans="1:25" ht="15.75" hidden="1" customHeight="1" x14ac:dyDescent="0.35">
      <c r="A184" s="3">
        <v>17078</v>
      </c>
      <c r="B184" s="3" t="s">
        <v>23</v>
      </c>
      <c r="C184" s="2">
        <v>46179</v>
      </c>
      <c r="D184" s="2">
        <v>46174</v>
      </c>
      <c r="E184" s="2">
        <v>46122</v>
      </c>
      <c r="F184" s="2">
        <v>46152</v>
      </c>
      <c r="G184" t="s">
        <v>268</v>
      </c>
      <c r="H184" t="s">
        <v>257</v>
      </c>
      <c r="I184" t="s">
        <v>47</v>
      </c>
      <c r="J184">
        <v>224</v>
      </c>
      <c r="K184">
        <v>242</v>
      </c>
      <c r="L184">
        <f t="shared" si="15"/>
        <v>18</v>
      </c>
      <c r="M184">
        <v>18</v>
      </c>
      <c r="N184">
        <f t="shared" si="20"/>
        <v>0</v>
      </c>
      <c r="O184">
        <v>18</v>
      </c>
      <c r="S184">
        <v>3</v>
      </c>
      <c r="T184" s="3">
        <f t="shared" si="16"/>
        <v>21</v>
      </c>
      <c r="U184" s="3" t="str">
        <f t="shared" si="17"/>
        <v>USTED ESTÁ AL DÍA</v>
      </c>
      <c r="V184" s="3" t="s">
        <v>27</v>
      </c>
      <c r="W184">
        <v>20</v>
      </c>
      <c r="X184">
        <v>75</v>
      </c>
      <c r="Y184">
        <f t="shared" si="18"/>
        <v>116</v>
      </c>
    </row>
    <row r="185" spans="1:25" ht="15.75" hidden="1" customHeight="1" x14ac:dyDescent="0.35">
      <c r="A185" s="3">
        <v>17079</v>
      </c>
      <c r="B185" s="3" t="s">
        <v>23</v>
      </c>
      <c r="C185" s="2">
        <v>46179</v>
      </c>
      <c r="D185" s="2">
        <v>46174</v>
      </c>
      <c r="E185" s="2">
        <v>46122</v>
      </c>
      <c r="F185" s="2">
        <v>46152</v>
      </c>
      <c r="G185" t="s">
        <v>269</v>
      </c>
      <c r="H185" t="s">
        <v>257</v>
      </c>
      <c r="I185" t="s">
        <v>97</v>
      </c>
      <c r="J185">
        <v>52</v>
      </c>
      <c r="K185">
        <v>69</v>
      </c>
      <c r="L185">
        <f t="shared" si="15"/>
        <v>17</v>
      </c>
      <c r="M185">
        <v>17</v>
      </c>
      <c r="N185">
        <f t="shared" si="20"/>
        <v>0</v>
      </c>
      <c r="O185">
        <v>17</v>
      </c>
      <c r="R185">
        <v>25</v>
      </c>
      <c r="S185">
        <v>3</v>
      </c>
      <c r="T185" s="3">
        <f t="shared" si="16"/>
        <v>45</v>
      </c>
      <c r="U185" s="3" t="str">
        <f t="shared" si="17"/>
        <v>USTED ESTÁ AL DÍA</v>
      </c>
      <c r="V185" s="3" t="s">
        <v>27</v>
      </c>
      <c r="W185">
        <v>30</v>
      </c>
      <c r="Y185">
        <f t="shared" si="18"/>
        <v>75</v>
      </c>
    </row>
    <row r="186" spans="1:25" ht="15.75" hidden="1" customHeight="1" x14ac:dyDescent="0.35">
      <c r="A186" s="3">
        <v>17080</v>
      </c>
      <c r="B186" s="3" t="s">
        <v>23</v>
      </c>
      <c r="C186" s="2">
        <v>46179</v>
      </c>
      <c r="D186" s="2">
        <v>46174</v>
      </c>
      <c r="E186" s="2">
        <v>46122</v>
      </c>
      <c r="F186" s="2">
        <v>46152</v>
      </c>
      <c r="G186" t="s">
        <v>270</v>
      </c>
      <c r="H186" t="s">
        <v>257</v>
      </c>
      <c r="I186" t="s">
        <v>59</v>
      </c>
      <c r="J186">
        <v>0</v>
      </c>
      <c r="K186">
        <v>0</v>
      </c>
      <c r="L186">
        <f t="shared" si="15"/>
        <v>0</v>
      </c>
      <c r="M186">
        <v>5</v>
      </c>
      <c r="O186">
        <v>5</v>
      </c>
      <c r="R186">
        <v>25</v>
      </c>
      <c r="S186">
        <v>3</v>
      </c>
      <c r="T186" s="3">
        <f t="shared" si="16"/>
        <v>33</v>
      </c>
      <c r="U186" s="3" t="str">
        <f t="shared" si="17"/>
        <v>USTED ESTÁ AL DÍA</v>
      </c>
      <c r="V186" s="3" t="s">
        <v>27</v>
      </c>
      <c r="X186">
        <v>50</v>
      </c>
      <c r="Y186">
        <f t="shared" si="18"/>
        <v>83</v>
      </c>
    </row>
    <row r="187" spans="1:25" ht="15.75" hidden="1" customHeight="1" x14ac:dyDescent="0.35">
      <c r="A187" s="3">
        <v>17081</v>
      </c>
      <c r="B187" s="3" t="s">
        <v>23</v>
      </c>
      <c r="C187" s="2">
        <v>46179</v>
      </c>
      <c r="D187" s="2">
        <v>46174</v>
      </c>
      <c r="E187" s="2">
        <v>46122</v>
      </c>
      <c r="F187" s="2">
        <v>46152</v>
      </c>
      <c r="G187" t="s">
        <v>271</v>
      </c>
      <c r="H187" t="s">
        <v>257</v>
      </c>
      <c r="I187" t="s">
        <v>29</v>
      </c>
      <c r="L187">
        <f t="shared" si="15"/>
        <v>0</v>
      </c>
      <c r="S187">
        <v>0</v>
      </c>
      <c r="T187" s="3">
        <f t="shared" si="16"/>
        <v>0</v>
      </c>
      <c r="U187" s="3" t="str">
        <f t="shared" si="17"/>
        <v>USTED ESTÁ AL DÍA</v>
      </c>
      <c r="V187" s="3" t="s">
        <v>27</v>
      </c>
      <c r="W187">
        <v>30</v>
      </c>
      <c r="X187">
        <v>75</v>
      </c>
      <c r="Y187">
        <f t="shared" si="18"/>
        <v>105</v>
      </c>
    </row>
    <row r="188" spans="1:25" ht="15.75" hidden="1" customHeight="1" x14ac:dyDescent="0.35">
      <c r="A188" s="3">
        <v>17082</v>
      </c>
      <c r="B188" s="3" t="s">
        <v>23</v>
      </c>
      <c r="C188" s="2">
        <v>46179</v>
      </c>
      <c r="D188" s="2">
        <v>46174</v>
      </c>
      <c r="E188" s="2">
        <v>46122</v>
      </c>
      <c r="F188" s="2">
        <v>46152</v>
      </c>
      <c r="G188" t="s">
        <v>272</v>
      </c>
      <c r="H188" t="s">
        <v>273</v>
      </c>
      <c r="I188" t="s">
        <v>26</v>
      </c>
      <c r="J188">
        <v>270</v>
      </c>
      <c r="K188">
        <v>276</v>
      </c>
      <c r="L188">
        <f t="shared" si="15"/>
        <v>6</v>
      </c>
      <c r="M188">
        <v>6</v>
      </c>
      <c r="N188">
        <f>IF(L188&lt;&gt;M188,1,0)</f>
        <v>0</v>
      </c>
      <c r="O188">
        <v>6</v>
      </c>
      <c r="S188">
        <v>3</v>
      </c>
      <c r="T188" s="3">
        <f t="shared" si="16"/>
        <v>9</v>
      </c>
      <c r="U188" s="3" t="str">
        <f t="shared" si="17"/>
        <v>USTED ESTÁ AL DÍA</v>
      </c>
      <c r="V188" s="3" t="s">
        <v>27</v>
      </c>
      <c r="Y188">
        <f t="shared" si="18"/>
        <v>9</v>
      </c>
    </row>
    <row r="189" spans="1:25" ht="15.75" hidden="1" customHeight="1" x14ac:dyDescent="0.35">
      <c r="A189" s="3">
        <v>17083</v>
      </c>
      <c r="B189" s="3" t="s">
        <v>23</v>
      </c>
      <c r="C189" s="2">
        <v>46179</v>
      </c>
      <c r="D189" s="2">
        <v>46174</v>
      </c>
      <c r="E189" s="2">
        <v>46122</v>
      </c>
      <c r="F189" s="2">
        <v>46152</v>
      </c>
      <c r="G189" t="s">
        <v>274</v>
      </c>
      <c r="H189" t="s">
        <v>273</v>
      </c>
      <c r="I189" t="s">
        <v>29</v>
      </c>
      <c r="J189">
        <v>847</v>
      </c>
      <c r="K189">
        <v>849</v>
      </c>
      <c r="L189">
        <f t="shared" si="15"/>
        <v>2</v>
      </c>
      <c r="M189">
        <v>5</v>
      </c>
      <c r="O189">
        <v>5</v>
      </c>
      <c r="S189">
        <v>3</v>
      </c>
      <c r="T189" s="3">
        <f t="shared" si="16"/>
        <v>8</v>
      </c>
      <c r="U189" s="3" t="str">
        <f t="shared" si="17"/>
        <v>USTED ESTÁ AL DÍA</v>
      </c>
      <c r="V189" s="3" t="s">
        <v>27</v>
      </c>
      <c r="X189">
        <v>75</v>
      </c>
      <c r="Y189">
        <f t="shared" si="18"/>
        <v>83</v>
      </c>
    </row>
    <row r="190" spans="1:25" ht="15.75" hidden="1" customHeight="1" x14ac:dyDescent="0.35">
      <c r="A190" s="3">
        <v>17084</v>
      </c>
      <c r="B190" s="3" t="s">
        <v>23</v>
      </c>
      <c r="C190" s="2">
        <v>46179</v>
      </c>
      <c r="D190" s="2">
        <v>46174</v>
      </c>
      <c r="E190" s="2">
        <v>46122</v>
      </c>
      <c r="F190" s="2">
        <v>46152</v>
      </c>
      <c r="G190" t="s">
        <v>275</v>
      </c>
      <c r="H190" t="s">
        <v>273</v>
      </c>
      <c r="I190" t="s">
        <v>39</v>
      </c>
      <c r="J190">
        <v>361</v>
      </c>
      <c r="K190">
        <v>365</v>
      </c>
      <c r="L190">
        <f t="shared" si="15"/>
        <v>4</v>
      </c>
      <c r="M190">
        <v>5</v>
      </c>
      <c r="O190">
        <v>5</v>
      </c>
      <c r="S190">
        <v>3</v>
      </c>
      <c r="T190" s="3">
        <f t="shared" si="16"/>
        <v>8</v>
      </c>
      <c r="U190" s="3" t="str">
        <f t="shared" si="17"/>
        <v>USTED ESTÁ AL DÍA</v>
      </c>
      <c r="V190" s="3" t="s">
        <v>27</v>
      </c>
      <c r="W190">
        <v>30</v>
      </c>
      <c r="Y190">
        <f t="shared" si="18"/>
        <v>38</v>
      </c>
    </row>
    <row r="191" spans="1:25" ht="15.75" hidden="1" customHeight="1" x14ac:dyDescent="0.35">
      <c r="A191" s="3">
        <v>17085</v>
      </c>
      <c r="B191" s="3" t="s">
        <v>23</v>
      </c>
      <c r="C191" s="2">
        <v>46179</v>
      </c>
      <c r="D191" s="2">
        <v>46174</v>
      </c>
      <c r="E191" s="2">
        <v>46122</v>
      </c>
      <c r="F191" s="2">
        <v>46152</v>
      </c>
      <c r="G191" t="s">
        <v>276</v>
      </c>
      <c r="H191" t="s">
        <v>273</v>
      </c>
      <c r="I191" t="s">
        <v>37</v>
      </c>
      <c r="J191">
        <v>122</v>
      </c>
      <c r="K191">
        <v>128</v>
      </c>
      <c r="L191">
        <f t="shared" si="15"/>
        <v>6</v>
      </c>
      <c r="M191">
        <v>6</v>
      </c>
      <c r="N191">
        <f>IF(L191&lt;&gt;M191,1,0)</f>
        <v>0</v>
      </c>
      <c r="O191">
        <v>6</v>
      </c>
      <c r="S191">
        <v>3</v>
      </c>
      <c r="T191" s="3">
        <f t="shared" si="16"/>
        <v>9</v>
      </c>
      <c r="U191" s="3" t="str">
        <f t="shared" si="17"/>
        <v>USTED ESTÁ AL DÍA</v>
      </c>
      <c r="V191" s="3" t="s">
        <v>27</v>
      </c>
      <c r="W191">
        <v>50</v>
      </c>
      <c r="X191">
        <v>50</v>
      </c>
      <c r="Y191">
        <f t="shared" si="18"/>
        <v>109</v>
      </c>
    </row>
    <row r="192" spans="1:25" ht="15.75" hidden="1" customHeight="1" x14ac:dyDescent="0.35">
      <c r="A192" s="3">
        <v>17086</v>
      </c>
      <c r="B192" s="3" t="s">
        <v>23</v>
      </c>
      <c r="C192" s="2">
        <v>46179</v>
      </c>
      <c r="D192" s="2">
        <v>46174</v>
      </c>
      <c r="E192" s="2">
        <v>46122</v>
      </c>
      <c r="F192" s="2">
        <v>46152</v>
      </c>
      <c r="G192" t="s">
        <v>277</v>
      </c>
      <c r="H192" t="s">
        <v>273</v>
      </c>
      <c r="I192" t="s">
        <v>41</v>
      </c>
      <c r="J192">
        <v>32</v>
      </c>
      <c r="K192">
        <v>42</v>
      </c>
      <c r="L192">
        <f t="shared" si="15"/>
        <v>10</v>
      </c>
      <c r="M192">
        <v>10</v>
      </c>
      <c r="N192">
        <f>IF(L192&lt;&gt;M192,1,0)</f>
        <v>0</v>
      </c>
      <c r="O192">
        <v>10</v>
      </c>
      <c r="R192">
        <v>25</v>
      </c>
      <c r="S192">
        <v>3</v>
      </c>
      <c r="T192" s="3">
        <f t="shared" si="16"/>
        <v>38</v>
      </c>
      <c r="U192" s="3" t="str">
        <f t="shared" si="17"/>
        <v>USTED ESTÁ AL DÍA</v>
      </c>
      <c r="V192" s="3" t="s">
        <v>27</v>
      </c>
      <c r="W192">
        <v>30</v>
      </c>
      <c r="Y192">
        <f t="shared" si="18"/>
        <v>68</v>
      </c>
    </row>
    <row r="193" spans="1:25" ht="15.75" hidden="1" customHeight="1" x14ac:dyDescent="0.35">
      <c r="A193" s="3">
        <v>17087</v>
      </c>
      <c r="B193" s="3" t="s">
        <v>23</v>
      </c>
      <c r="C193" s="2">
        <v>46179</v>
      </c>
      <c r="D193" s="2">
        <v>46174</v>
      </c>
      <c r="E193" s="2">
        <v>46122</v>
      </c>
      <c r="F193" s="2">
        <v>46152</v>
      </c>
      <c r="G193" t="s">
        <v>278</v>
      </c>
      <c r="H193" t="s">
        <v>273</v>
      </c>
      <c r="I193" t="s">
        <v>43</v>
      </c>
      <c r="J193">
        <v>131</v>
      </c>
      <c r="K193">
        <v>133</v>
      </c>
      <c r="L193">
        <f t="shared" si="15"/>
        <v>2</v>
      </c>
      <c r="M193">
        <v>5</v>
      </c>
      <c r="O193">
        <v>5</v>
      </c>
      <c r="S193">
        <v>3</v>
      </c>
      <c r="T193" s="3">
        <f t="shared" si="16"/>
        <v>8</v>
      </c>
      <c r="U193" s="3" t="str">
        <f t="shared" si="17"/>
        <v>USTED ESTÁ AL DÍA</v>
      </c>
      <c r="V193" s="3" t="s">
        <v>27</v>
      </c>
      <c r="Y193">
        <f t="shared" si="18"/>
        <v>8</v>
      </c>
    </row>
    <row r="194" spans="1:25" ht="15.75" hidden="1" customHeight="1" x14ac:dyDescent="0.35">
      <c r="A194" s="3">
        <v>17088</v>
      </c>
      <c r="B194" s="3" t="s">
        <v>23</v>
      </c>
      <c r="C194" s="2">
        <v>46179</v>
      </c>
      <c r="D194" s="2">
        <v>46174</v>
      </c>
      <c r="E194" s="2">
        <v>46122</v>
      </c>
      <c r="F194" s="2">
        <v>46152</v>
      </c>
      <c r="G194" t="s">
        <v>279</v>
      </c>
      <c r="H194" t="s">
        <v>273</v>
      </c>
      <c r="I194" t="s">
        <v>45</v>
      </c>
      <c r="J194">
        <v>990</v>
      </c>
      <c r="K194">
        <v>995</v>
      </c>
      <c r="L194">
        <f t="shared" ref="L194:L257" si="21">K194-J194</f>
        <v>5</v>
      </c>
      <c r="M194">
        <v>5</v>
      </c>
      <c r="O194">
        <v>5</v>
      </c>
      <c r="S194">
        <v>3</v>
      </c>
      <c r="T194" s="3">
        <f t="shared" ref="T194:T257" si="22">SUM(O194:S194)</f>
        <v>8</v>
      </c>
      <c r="U194" s="3" t="str">
        <f t="shared" ref="U194:U257" si="23">IF(P194&lt;8,"USTED ESTÁ AL DÍA","USTED NO ESTÁ AL DÍA")</f>
        <v>USTED ESTÁ AL DÍA</v>
      </c>
      <c r="V194" s="3" t="s">
        <v>27</v>
      </c>
      <c r="W194">
        <v>30</v>
      </c>
      <c r="Y194">
        <f t="shared" ref="Y194:Y257" si="24">T194+W194+X194</f>
        <v>38</v>
      </c>
    </row>
    <row r="195" spans="1:25" ht="15.75" hidden="1" customHeight="1" x14ac:dyDescent="0.35">
      <c r="A195" s="3">
        <v>17089</v>
      </c>
      <c r="B195" s="3" t="s">
        <v>23</v>
      </c>
      <c r="C195" s="2">
        <v>46179</v>
      </c>
      <c r="D195" s="2">
        <v>46174</v>
      </c>
      <c r="E195" s="2">
        <v>46122</v>
      </c>
      <c r="F195" s="2">
        <v>46152</v>
      </c>
      <c r="G195" t="s">
        <v>280</v>
      </c>
      <c r="H195" t="s">
        <v>273</v>
      </c>
      <c r="I195" t="s">
        <v>47</v>
      </c>
      <c r="J195">
        <v>114</v>
      </c>
      <c r="K195">
        <v>119</v>
      </c>
      <c r="L195">
        <f t="shared" si="21"/>
        <v>5</v>
      </c>
      <c r="M195">
        <v>5</v>
      </c>
      <c r="O195">
        <v>5</v>
      </c>
      <c r="R195">
        <v>776</v>
      </c>
      <c r="S195">
        <v>3</v>
      </c>
      <c r="T195" s="3">
        <f t="shared" si="22"/>
        <v>784</v>
      </c>
      <c r="U195" s="3" t="str">
        <f t="shared" si="23"/>
        <v>USTED ESTÁ AL DÍA</v>
      </c>
      <c r="V195" s="3" t="s">
        <v>27</v>
      </c>
      <c r="Y195">
        <f t="shared" si="24"/>
        <v>784</v>
      </c>
    </row>
    <row r="196" spans="1:25" ht="15.75" hidden="1" customHeight="1" x14ac:dyDescent="0.35">
      <c r="A196" s="3">
        <v>17090</v>
      </c>
      <c r="B196" s="3" t="s">
        <v>23</v>
      </c>
      <c r="C196" s="2">
        <v>46179</v>
      </c>
      <c r="D196" s="2">
        <v>46174</v>
      </c>
      <c r="E196" s="2">
        <v>46122</v>
      </c>
      <c r="F196" s="2">
        <v>46152</v>
      </c>
      <c r="G196" t="s">
        <v>281</v>
      </c>
      <c r="H196" t="s">
        <v>273</v>
      </c>
      <c r="I196" t="s">
        <v>33</v>
      </c>
      <c r="J196">
        <v>1307</v>
      </c>
      <c r="K196">
        <v>1336</v>
      </c>
      <c r="L196">
        <f t="shared" si="21"/>
        <v>29</v>
      </c>
      <c r="M196">
        <v>29</v>
      </c>
      <c r="N196">
        <f>IF(L196&lt;&gt;M196,1,0)</f>
        <v>0</v>
      </c>
      <c r="O196">
        <v>29</v>
      </c>
      <c r="P196">
        <v>29</v>
      </c>
      <c r="S196">
        <v>3</v>
      </c>
      <c r="T196" s="3">
        <f t="shared" si="22"/>
        <v>61</v>
      </c>
      <c r="U196" s="3" t="str">
        <f t="shared" si="23"/>
        <v>USTED NO ESTÁ AL DÍA</v>
      </c>
      <c r="V196" s="3" t="s">
        <v>27</v>
      </c>
      <c r="W196">
        <v>50</v>
      </c>
      <c r="Y196">
        <f t="shared" si="24"/>
        <v>111</v>
      </c>
    </row>
    <row r="197" spans="1:25" ht="15.75" hidden="1" customHeight="1" x14ac:dyDescent="0.35">
      <c r="A197" s="3">
        <v>17091</v>
      </c>
      <c r="B197" s="3" t="s">
        <v>23</v>
      </c>
      <c r="C197" s="2">
        <v>46179</v>
      </c>
      <c r="D197" s="2">
        <v>46174</v>
      </c>
      <c r="E197" s="2">
        <v>46122</v>
      </c>
      <c r="F197" s="2">
        <v>46152</v>
      </c>
      <c r="G197" t="s">
        <v>282</v>
      </c>
      <c r="H197" t="s">
        <v>273</v>
      </c>
      <c r="I197" t="s">
        <v>68</v>
      </c>
      <c r="J197">
        <v>259</v>
      </c>
      <c r="K197">
        <v>261</v>
      </c>
      <c r="L197">
        <f t="shared" si="21"/>
        <v>2</v>
      </c>
      <c r="M197">
        <v>5</v>
      </c>
      <c r="O197">
        <v>5</v>
      </c>
      <c r="P197">
        <v>8</v>
      </c>
      <c r="S197">
        <v>3</v>
      </c>
      <c r="T197" s="3">
        <f t="shared" si="22"/>
        <v>16</v>
      </c>
      <c r="U197" s="3" t="str">
        <f t="shared" si="23"/>
        <v>USTED NO ESTÁ AL DÍA</v>
      </c>
      <c r="V197" s="3" t="s">
        <v>27</v>
      </c>
      <c r="Y197">
        <f t="shared" si="24"/>
        <v>16</v>
      </c>
    </row>
    <row r="198" spans="1:25" ht="15.75" hidden="1" customHeight="1" x14ac:dyDescent="0.35">
      <c r="A198" s="3">
        <v>17092</v>
      </c>
      <c r="B198" s="3" t="s">
        <v>23</v>
      </c>
      <c r="C198" s="2">
        <v>46179</v>
      </c>
      <c r="D198" s="2">
        <v>46174</v>
      </c>
      <c r="E198" s="2">
        <v>46122</v>
      </c>
      <c r="F198" s="2">
        <v>46152</v>
      </c>
      <c r="G198" t="s">
        <v>283</v>
      </c>
      <c r="H198" t="s">
        <v>273</v>
      </c>
      <c r="I198" t="s">
        <v>31</v>
      </c>
      <c r="L198">
        <f t="shared" si="21"/>
        <v>0</v>
      </c>
      <c r="S198">
        <v>0</v>
      </c>
      <c r="T198" s="3">
        <f t="shared" si="22"/>
        <v>0</v>
      </c>
      <c r="U198" s="3" t="str">
        <f t="shared" si="23"/>
        <v>USTED ESTÁ AL DÍA</v>
      </c>
      <c r="V198" s="3" t="s">
        <v>27</v>
      </c>
      <c r="W198">
        <v>50</v>
      </c>
      <c r="Y198">
        <f t="shared" si="24"/>
        <v>50</v>
      </c>
    </row>
    <row r="199" spans="1:25" ht="15.75" hidden="1" customHeight="1" x14ac:dyDescent="0.35">
      <c r="A199" s="3">
        <v>17093</v>
      </c>
      <c r="B199" s="3" t="s">
        <v>23</v>
      </c>
      <c r="C199" s="2">
        <v>46179</v>
      </c>
      <c r="D199" s="2">
        <v>46174</v>
      </c>
      <c r="E199" s="2">
        <v>46122</v>
      </c>
      <c r="F199" s="2">
        <v>46152</v>
      </c>
      <c r="G199" t="s">
        <v>284</v>
      </c>
      <c r="H199" t="s">
        <v>273</v>
      </c>
      <c r="I199" t="s">
        <v>35</v>
      </c>
      <c r="L199">
        <f t="shared" si="21"/>
        <v>0</v>
      </c>
      <c r="S199">
        <v>0</v>
      </c>
      <c r="T199" s="3">
        <f t="shared" si="22"/>
        <v>0</v>
      </c>
      <c r="U199" s="3" t="str">
        <f t="shared" si="23"/>
        <v>USTED ESTÁ AL DÍA</v>
      </c>
      <c r="V199" s="3" t="s">
        <v>27</v>
      </c>
      <c r="X199">
        <v>50</v>
      </c>
      <c r="Y199">
        <f t="shared" si="24"/>
        <v>50</v>
      </c>
    </row>
    <row r="200" spans="1:25" ht="15.75" hidden="1" customHeight="1" x14ac:dyDescent="0.35">
      <c r="A200" s="3">
        <v>17094</v>
      </c>
      <c r="B200" s="3" t="s">
        <v>23</v>
      </c>
      <c r="C200" s="2">
        <v>46179</v>
      </c>
      <c r="D200" s="2">
        <v>46174</v>
      </c>
      <c r="E200" s="2">
        <v>46122</v>
      </c>
      <c r="F200" s="2">
        <v>46152</v>
      </c>
      <c r="G200" t="s">
        <v>285</v>
      </c>
      <c r="H200" t="s">
        <v>286</v>
      </c>
      <c r="I200" t="s">
        <v>39</v>
      </c>
      <c r="J200">
        <v>1778</v>
      </c>
      <c r="K200">
        <v>1803</v>
      </c>
      <c r="L200">
        <f t="shared" si="21"/>
        <v>25</v>
      </c>
      <c r="M200">
        <v>25</v>
      </c>
      <c r="N200">
        <f t="shared" ref="N200:N219" si="25">IF(L200&lt;&gt;M200,1,0)</f>
        <v>0</v>
      </c>
      <c r="O200">
        <v>25</v>
      </c>
      <c r="P200">
        <v>29</v>
      </c>
      <c r="S200">
        <v>3</v>
      </c>
      <c r="T200" s="3">
        <f t="shared" si="22"/>
        <v>57</v>
      </c>
      <c r="U200" s="3" t="str">
        <f t="shared" si="23"/>
        <v>USTED NO ESTÁ AL DÍA</v>
      </c>
      <c r="V200" s="3" t="s">
        <v>27</v>
      </c>
      <c r="Y200">
        <f t="shared" si="24"/>
        <v>57</v>
      </c>
    </row>
    <row r="201" spans="1:25" ht="15.75" hidden="1" customHeight="1" x14ac:dyDescent="0.35">
      <c r="A201" s="3">
        <v>17095</v>
      </c>
      <c r="B201" s="3" t="s">
        <v>23</v>
      </c>
      <c r="C201" s="2">
        <v>46179</v>
      </c>
      <c r="D201" s="2">
        <v>46174</v>
      </c>
      <c r="E201" s="2">
        <v>46122</v>
      </c>
      <c r="F201" s="2">
        <v>46152</v>
      </c>
      <c r="G201" t="s">
        <v>287</v>
      </c>
      <c r="H201" t="s">
        <v>286</v>
      </c>
      <c r="I201" t="s">
        <v>43</v>
      </c>
      <c r="J201">
        <v>1086</v>
      </c>
      <c r="K201">
        <v>1105</v>
      </c>
      <c r="L201">
        <f t="shared" si="21"/>
        <v>19</v>
      </c>
      <c r="M201">
        <v>19</v>
      </c>
      <c r="N201">
        <f t="shared" si="25"/>
        <v>0</v>
      </c>
      <c r="O201">
        <v>19</v>
      </c>
      <c r="P201">
        <v>22</v>
      </c>
      <c r="S201">
        <v>3</v>
      </c>
      <c r="T201" s="3">
        <f t="shared" si="22"/>
        <v>44</v>
      </c>
      <c r="U201" s="3" t="str">
        <f t="shared" si="23"/>
        <v>USTED NO ESTÁ AL DÍA</v>
      </c>
      <c r="V201" s="3" t="s">
        <v>27</v>
      </c>
      <c r="Y201">
        <f t="shared" si="24"/>
        <v>44</v>
      </c>
    </row>
    <row r="202" spans="1:25" ht="15.75" hidden="1" customHeight="1" x14ac:dyDescent="0.35">
      <c r="A202" s="3">
        <v>17096</v>
      </c>
      <c r="B202" s="3" t="s">
        <v>23</v>
      </c>
      <c r="C202" s="2">
        <v>46179</v>
      </c>
      <c r="D202" s="2">
        <v>46174</v>
      </c>
      <c r="E202" s="2">
        <v>46122</v>
      </c>
      <c r="F202" s="2">
        <v>46152</v>
      </c>
      <c r="G202" t="s">
        <v>288</v>
      </c>
      <c r="H202" t="s">
        <v>286</v>
      </c>
      <c r="I202" t="s">
        <v>289</v>
      </c>
      <c r="J202">
        <v>480</v>
      </c>
      <c r="K202">
        <v>491</v>
      </c>
      <c r="L202">
        <f t="shared" si="21"/>
        <v>11</v>
      </c>
      <c r="M202">
        <v>11</v>
      </c>
      <c r="N202">
        <f t="shared" si="25"/>
        <v>0</v>
      </c>
      <c r="O202">
        <v>11</v>
      </c>
      <c r="P202">
        <v>11</v>
      </c>
      <c r="S202">
        <v>3</v>
      </c>
      <c r="T202" s="3">
        <f t="shared" si="22"/>
        <v>25</v>
      </c>
      <c r="U202" s="3" t="str">
        <f t="shared" si="23"/>
        <v>USTED NO ESTÁ AL DÍA</v>
      </c>
      <c r="V202" s="3" t="s">
        <v>27</v>
      </c>
      <c r="W202">
        <v>20</v>
      </c>
      <c r="X202">
        <v>75</v>
      </c>
      <c r="Y202">
        <f t="shared" si="24"/>
        <v>120</v>
      </c>
    </row>
    <row r="203" spans="1:25" ht="15.75" hidden="1" customHeight="1" x14ac:dyDescent="0.35">
      <c r="A203" s="3">
        <v>17097</v>
      </c>
      <c r="B203" s="3" t="s">
        <v>23</v>
      </c>
      <c r="C203" s="2">
        <v>46179</v>
      </c>
      <c r="D203" s="2">
        <v>46174</v>
      </c>
      <c r="E203" s="2">
        <v>46122</v>
      </c>
      <c r="F203" s="2">
        <v>46152</v>
      </c>
      <c r="G203" t="s">
        <v>290</v>
      </c>
      <c r="H203" t="s">
        <v>286</v>
      </c>
      <c r="I203" t="s">
        <v>291</v>
      </c>
      <c r="J203">
        <v>789</v>
      </c>
      <c r="K203">
        <v>804</v>
      </c>
      <c r="L203">
        <f t="shared" si="21"/>
        <v>15</v>
      </c>
      <c r="M203">
        <v>15</v>
      </c>
      <c r="N203">
        <f t="shared" si="25"/>
        <v>0</v>
      </c>
      <c r="O203">
        <v>15</v>
      </c>
      <c r="P203">
        <v>22</v>
      </c>
      <c r="S203">
        <v>3</v>
      </c>
      <c r="T203" s="3">
        <f t="shared" si="22"/>
        <v>40</v>
      </c>
      <c r="U203" s="3" t="str">
        <f t="shared" si="23"/>
        <v>USTED NO ESTÁ AL DÍA</v>
      </c>
      <c r="V203" s="3" t="s">
        <v>27</v>
      </c>
      <c r="Y203">
        <f t="shared" si="24"/>
        <v>40</v>
      </c>
    </row>
    <row r="204" spans="1:25" ht="15.75" hidden="1" customHeight="1" x14ac:dyDescent="0.35">
      <c r="A204" s="3">
        <v>17098</v>
      </c>
      <c r="B204" s="3" t="s">
        <v>23</v>
      </c>
      <c r="C204" s="2">
        <v>46179</v>
      </c>
      <c r="D204" s="2">
        <v>46174</v>
      </c>
      <c r="E204" s="2">
        <v>46122</v>
      </c>
      <c r="F204" s="2">
        <v>46152</v>
      </c>
      <c r="G204" t="s">
        <v>292</v>
      </c>
      <c r="H204" t="s">
        <v>286</v>
      </c>
      <c r="I204" t="s">
        <v>144</v>
      </c>
      <c r="J204">
        <v>292</v>
      </c>
      <c r="K204">
        <v>315</v>
      </c>
      <c r="L204">
        <f t="shared" si="21"/>
        <v>23</v>
      </c>
      <c r="M204">
        <v>23</v>
      </c>
      <c r="N204">
        <f t="shared" si="25"/>
        <v>0</v>
      </c>
      <c r="O204">
        <v>23</v>
      </c>
      <c r="P204">
        <v>32</v>
      </c>
      <c r="S204">
        <v>3</v>
      </c>
      <c r="T204" s="3">
        <f t="shared" si="22"/>
        <v>58</v>
      </c>
      <c r="U204" s="3" t="str">
        <f t="shared" si="23"/>
        <v>USTED NO ESTÁ AL DÍA</v>
      </c>
      <c r="V204" s="3" t="s">
        <v>27</v>
      </c>
      <c r="Y204">
        <f t="shared" si="24"/>
        <v>58</v>
      </c>
    </row>
    <row r="205" spans="1:25" ht="15.75" hidden="1" customHeight="1" x14ac:dyDescent="0.35">
      <c r="A205" s="3">
        <v>17099</v>
      </c>
      <c r="B205" s="3" t="s">
        <v>23</v>
      </c>
      <c r="C205" s="2">
        <v>46179</v>
      </c>
      <c r="D205" s="2">
        <v>46174</v>
      </c>
      <c r="E205" s="2">
        <v>46122</v>
      </c>
      <c r="F205" s="2">
        <v>46152</v>
      </c>
      <c r="G205" t="s">
        <v>293</v>
      </c>
      <c r="H205" t="s">
        <v>286</v>
      </c>
      <c r="I205" t="s">
        <v>148</v>
      </c>
      <c r="J205">
        <v>492</v>
      </c>
      <c r="K205">
        <v>519</v>
      </c>
      <c r="L205">
        <f t="shared" si="21"/>
        <v>27</v>
      </c>
      <c r="M205">
        <v>27</v>
      </c>
      <c r="N205">
        <f t="shared" si="25"/>
        <v>0</v>
      </c>
      <c r="O205">
        <v>27</v>
      </c>
      <c r="P205">
        <v>31</v>
      </c>
      <c r="S205">
        <v>3</v>
      </c>
      <c r="T205" s="3">
        <f t="shared" si="22"/>
        <v>61</v>
      </c>
      <c r="U205" s="3" t="str">
        <f t="shared" si="23"/>
        <v>USTED NO ESTÁ AL DÍA</v>
      </c>
      <c r="V205" s="3" t="s">
        <v>27</v>
      </c>
      <c r="W205">
        <v>20</v>
      </c>
      <c r="X205">
        <v>75</v>
      </c>
      <c r="Y205">
        <f t="shared" si="24"/>
        <v>156</v>
      </c>
    </row>
    <row r="206" spans="1:25" ht="15.75" hidden="1" customHeight="1" x14ac:dyDescent="0.35">
      <c r="A206" s="3">
        <v>17100</v>
      </c>
      <c r="B206" s="3" t="s">
        <v>23</v>
      </c>
      <c r="C206" s="2">
        <v>46179</v>
      </c>
      <c r="D206" s="2">
        <v>46174</v>
      </c>
      <c r="E206" s="2">
        <v>46122</v>
      </c>
      <c r="F206" s="2">
        <v>46152</v>
      </c>
      <c r="G206" t="s">
        <v>294</v>
      </c>
      <c r="H206" t="s">
        <v>286</v>
      </c>
      <c r="I206" t="s">
        <v>26</v>
      </c>
      <c r="J206">
        <v>862</v>
      </c>
      <c r="K206">
        <v>887</v>
      </c>
      <c r="L206">
        <f t="shared" si="21"/>
        <v>25</v>
      </c>
      <c r="M206">
        <v>25</v>
      </c>
      <c r="N206">
        <f t="shared" si="25"/>
        <v>0</v>
      </c>
      <c r="O206">
        <v>25</v>
      </c>
      <c r="S206">
        <v>3</v>
      </c>
      <c r="T206" s="3">
        <f t="shared" si="22"/>
        <v>28</v>
      </c>
      <c r="U206" s="3" t="str">
        <f t="shared" si="23"/>
        <v>USTED ESTÁ AL DÍA</v>
      </c>
      <c r="V206" s="3" t="s">
        <v>27</v>
      </c>
      <c r="W206">
        <v>50</v>
      </c>
      <c r="Y206">
        <f t="shared" si="24"/>
        <v>78</v>
      </c>
    </row>
    <row r="207" spans="1:25" ht="15.75" hidden="1" customHeight="1" x14ac:dyDescent="0.35">
      <c r="A207" s="3">
        <v>17101</v>
      </c>
      <c r="B207" s="3" t="s">
        <v>23</v>
      </c>
      <c r="C207" s="2">
        <v>46179</v>
      </c>
      <c r="D207" s="2">
        <v>46174</v>
      </c>
      <c r="E207" s="2">
        <v>46122</v>
      </c>
      <c r="F207" s="2">
        <v>46152</v>
      </c>
      <c r="G207" t="s">
        <v>295</v>
      </c>
      <c r="H207" t="s">
        <v>286</v>
      </c>
      <c r="I207" t="s">
        <v>29</v>
      </c>
      <c r="J207">
        <v>63</v>
      </c>
      <c r="K207">
        <v>87</v>
      </c>
      <c r="L207">
        <f t="shared" si="21"/>
        <v>24</v>
      </c>
      <c r="M207">
        <v>24</v>
      </c>
      <c r="N207">
        <f t="shared" si="25"/>
        <v>0</v>
      </c>
      <c r="O207">
        <v>24</v>
      </c>
      <c r="R207">
        <v>25</v>
      </c>
      <c r="S207">
        <v>3</v>
      </c>
      <c r="T207" s="3">
        <f t="shared" si="22"/>
        <v>52</v>
      </c>
      <c r="U207" s="3" t="str">
        <f t="shared" si="23"/>
        <v>USTED ESTÁ AL DÍA</v>
      </c>
      <c r="V207" s="3" t="s">
        <v>27</v>
      </c>
      <c r="W207">
        <v>30</v>
      </c>
      <c r="X207">
        <v>75</v>
      </c>
      <c r="Y207">
        <f t="shared" si="24"/>
        <v>157</v>
      </c>
    </row>
    <row r="208" spans="1:25" ht="15.75" hidden="1" customHeight="1" x14ac:dyDescent="0.35">
      <c r="A208" s="3">
        <v>17102</v>
      </c>
      <c r="B208" s="3" t="s">
        <v>23</v>
      </c>
      <c r="C208" s="2">
        <v>46179</v>
      </c>
      <c r="D208" s="2">
        <v>46174</v>
      </c>
      <c r="E208" s="2">
        <v>46122</v>
      </c>
      <c r="F208" s="2">
        <v>46152</v>
      </c>
      <c r="G208" t="s">
        <v>296</v>
      </c>
      <c r="H208" t="s">
        <v>286</v>
      </c>
      <c r="I208" t="s">
        <v>31</v>
      </c>
      <c r="J208">
        <v>19</v>
      </c>
      <c r="K208">
        <v>34</v>
      </c>
      <c r="L208">
        <f t="shared" si="21"/>
        <v>15</v>
      </c>
      <c r="M208">
        <v>15</v>
      </c>
      <c r="N208">
        <f t="shared" si="25"/>
        <v>0</v>
      </c>
      <c r="O208">
        <v>15</v>
      </c>
      <c r="R208">
        <v>25</v>
      </c>
      <c r="S208">
        <v>3</v>
      </c>
      <c r="T208" s="3">
        <f t="shared" si="22"/>
        <v>43</v>
      </c>
      <c r="U208" s="3" t="str">
        <f t="shared" si="23"/>
        <v>USTED ESTÁ AL DÍA</v>
      </c>
      <c r="V208" s="3" t="s">
        <v>27</v>
      </c>
      <c r="W208">
        <v>30</v>
      </c>
      <c r="X208">
        <v>50</v>
      </c>
      <c r="Y208">
        <f t="shared" si="24"/>
        <v>123</v>
      </c>
    </row>
    <row r="209" spans="1:25" ht="15.75" hidden="1" customHeight="1" x14ac:dyDescent="0.35">
      <c r="A209" s="3">
        <v>17103</v>
      </c>
      <c r="B209" s="3" t="s">
        <v>23</v>
      </c>
      <c r="C209" s="2">
        <v>46179</v>
      </c>
      <c r="D209" s="2">
        <v>46174</v>
      </c>
      <c r="E209" s="2">
        <v>46122</v>
      </c>
      <c r="F209" s="2">
        <v>46152</v>
      </c>
      <c r="G209" t="s">
        <v>297</v>
      </c>
      <c r="H209" t="s">
        <v>286</v>
      </c>
      <c r="I209" t="s">
        <v>33</v>
      </c>
      <c r="J209">
        <v>26</v>
      </c>
      <c r="K209">
        <v>34</v>
      </c>
      <c r="L209">
        <f t="shared" si="21"/>
        <v>8</v>
      </c>
      <c r="M209">
        <v>8</v>
      </c>
      <c r="N209">
        <f t="shared" si="25"/>
        <v>0</v>
      </c>
      <c r="O209">
        <v>8</v>
      </c>
      <c r="R209">
        <v>25</v>
      </c>
      <c r="S209">
        <v>3</v>
      </c>
      <c r="T209" s="3">
        <f t="shared" si="22"/>
        <v>36</v>
      </c>
      <c r="U209" s="3" t="str">
        <f t="shared" si="23"/>
        <v>USTED ESTÁ AL DÍA</v>
      </c>
      <c r="V209" s="3" t="s">
        <v>27</v>
      </c>
      <c r="W209">
        <v>50</v>
      </c>
      <c r="X209">
        <v>50</v>
      </c>
      <c r="Y209">
        <f t="shared" si="24"/>
        <v>136</v>
      </c>
    </row>
    <row r="210" spans="1:25" ht="15.75" hidden="1" customHeight="1" x14ac:dyDescent="0.35">
      <c r="A210" s="3">
        <v>17104</v>
      </c>
      <c r="B210" s="3" t="s">
        <v>23</v>
      </c>
      <c r="C210" s="2">
        <v>46179</v>
      </c>
      <c r="D210" s="2">
        <v>46174</v>
      </c>
      <c r="E210" s="2">
        <v>46122</v>
      </c>
      <c r="F210" s="2">
        <v>46152</v>
      </c>
      <c r="G210" t="s">
        <v>298</v>
      </c>
      <c r="H210" t="s">
        <v>286</v>
      </c>
      <c r="I210" t="s">
        <v>35</v>
      </c>
      <c r="J210">
        <v>512</v>
      </c>
      <c r="K210">
        <v>523</v>
      </c>
      <c r="L210">
        <f t="shared" si="21"/>
        <v>11</v>
      </c>
      <c r="M210">
        <v>11</v>
      </c>
      <c r="N210">
        <f t="shared" si="25"/>
        <v>0</v>
      </c>
      <c r="O210">
        <v>11</v>
      </c>
      <c r="S210">
        <v>3</v>
      </c>
      <c r="T210" s="3">
        <f t="shared" si="22"/>
        <v>14</v>
      </c>
      <c r="U210" s="3" t="str">
        <f t="shared" si="23"/>
        <v>USTED ESTÁ AL DÍA</v>
      </c>
      <c r="V210" s="3" t="s">
        <v>27</v>
      </c>
      <c r="W210">
        <v>50</v>
      </c>
      <c r="X210">
        <v>50</v>
      </c>
      <c r="Y210">
        <f t="shared" si="24"/>
        <v>114</v>
      </c>
    </row>
    <row r="211" spans="1:25" ht="15.75" hidden="1" customHeight="1" x14ac:dyDescent="0.35">
      <c r="A211" s="3">
        <v>17105</v>
      </c>
      <c r="B211" s="3" t="s">
        <v>23</v>
      </c>
      <c r="C211" s="2">
        <v>46179</v>
      </c>
      <c r="D211" s="2">
        <v>46174</v>
      </c>
      <c r="E211" s="2">
        <v>46122</v>
      </c>
      <c r="F211" s="2">
        <v>46152</v>
      </c>
      <c r="G211" t="s">
        <v>299</v>
      </c>
      <c r="H211" t="s">
        <v>286</v>
      </c>
      <c r="I211" t="s">
        <v>37</v>
      </c>
      <c r="J211">
        <v>63</v>
      </c>
      <c r="K211">
        <v>92</v>
      </c>
      <c r="L211">
        <f t="shared" si="21"/>
        <v>29</v>
      </c>
      <c r="M211">
        <v>29</v>
      </c>
      <c r="N211">
        <f t="shared" si="25"/>
        <v>0</v>
      </c>
      <c r="O211">
        <v>29</v>
      </c>
      <c r="R211">
        <v>25</v>
      </c>
      <c r="S211">
        <v>3</v>
      </c>
      <c r="T211" s="3">
        <f t="shared" si="22"/>
        <v>57</v>
      </c>
      <c r="U211" s="3" t="str">
        <f t="shared" si="23"/>
        <v>USTED ESTÁ AL DÍA</v>
      </c>
      <c r="V211" s="3" t="s">
        <v>27</v>
      </c>
      <c r="W211">
        <v>50</v>
      </c>
      <c r="X211">
        <v>75</v>
      </c>
      <c r="Y211">
        <f t="shared" si="24"/>
        <v>182</v>
      </c>
    </row>
    <row r="212" spans="1:25" ht="15.75" hidden="1" customHeight="1" x14ac:dyDescent="0.35">
      <c r="A212" s="3">
        <v>17106</v>
      </c>
      <c r="B212" s="3" t="s">
        <v>23</v>
      </c>
      <c r="C212" s="2">
        <v>46179</v>
      </c>
      <c r="D212" s="2">
        <v>46174</v>
      </c>
      <c r="E212" s="2">
        <v>46122</v>
      </c>
      <c r="F212" s="2">
        <v>46152</v>
      </c>
      <c r="G212" t="s">
        <v>300</v>
      </c>
      <c r="H212" t="s">
        <v>286</v>
      </c>
      <c r="I212" t="s">
        <v>41</v>
      </c>
      <c r="J212">
        <v>5286</v>
      </c>
      <c r="K212">
        <v>5311</v>
      </c>
      <c r="L212">
        <f t="shared" si="21"/>
        <v>25</v>
      </c>
      <c r="M212">
        <v>25</v>
      </c>
      <c r="N212">
        <f t="shared" si="25"/>
        <v>0</v>
      </c>
      <c r="O212">
        <v>25</v>
      </c>
      <c r="S212">
        <v>3</v>
      </c>
      <c r="T212" s="3">
        <f t="shared" si="22"/>
        <v>28</v>
      </c>
      <c r="U212" s="3" t="str">
        <f t="shared" si="23"/>
        <v>USTED ESTÁ AL DÍA</v>
      </c>
      <c r="V212" s="3" t="s">
        <v>27</v>
      </c>
      <c r="Y212">
        <f t="shared" si="24"/>
        <v>28</v>
      </c>
    </row>
    <row r="213" spans="1:25" ht="15.75" hidden="1" customHeight="1" x14ac:dyDescent="0.35">
      <c r="A213" s="3">
        <v>17107</v>
      </c>
      <c r="B213" s="3" t="s">
        <v>23</v>
      </c>
      <c r="C213" s="2">
        <v>46179</v>
      </c>
      <c r="D213" s="2">
        <v>46174</v>
      </c>
      <c r="E213" s="2">
        <v>46122</v>
      </c>
      <c r="F213" s="2">
        <v>46152</v>
      </c>
      <c r="G213" t="s">
        <v>301</v>
      </c>
      <c r="H213" t="s">
        <v>286</v>
      </c>
      <c r="I213" t="s">
        <v>47</v>
      </c>
      <c r="J213">
        <v>40</v>
      </c>
      <c r="K213">
        <v>54</v>
      </c>
      <c r="L213">
        <f t="shared" si="21"/>
        <v>14</v>
      </c>
      <c r="M213">
        <v>14</v>
      </c>
      <c r="N213">
        <f t="shared" si="25"/>
        <v>0</v>
      </c>
      <c r="O213">
        <v>14</v>
      </c>
      <c r="R213">
        <v>25</v>
      </c>
      <c r="S213">
        <v>3</v>
      </c>
      <c r="T213" s="3">
        <f t="shared" si="22"/>
        <v>42</v>
      </c>
      <c r="U213" s="3" t="str">
        <f t="shared" si="23"/>
        <v>USTED ESTÁ AL DÍA</v>
      </c>
      <c r="V213" s="3" t="s">
        <v>27</v>
      </c>
      <c r="Y213">
        <f t="shared" si="24"/>
        <v>42</v>
      </c>
    </row>
    <row r="214" spans="1:25" ht="15.75" hidden="1" customHeight="1" x14ac:dyDescent="0.35">
      <c r="A214" s="3">
        <v>17108</v>
      </c>
      <c r="B214" s="3" t="s">
        <v>23</v>
      </c>
      <c r="C214" s="2">
        <v>46179</v>
      </c>
      <c r="D214" s="2">
        <v>46174</v>
      </c>
      <c r="E214" s="2">
        <v>46122</v>
      </c>
      <c r="F214" s="2">
        <v>46152</v>
      </c>
      <c r="G214" t="s">
        <v>302</v>
      </c>
      <c r="H214" t="s">
        <v>286</v>
      </c>
      <c r="I214" t="s">
        <v>66</v>
      </c>
      <c r="J214">
        <v>31</v>
      </c>
      <c r="K214">
        <v>37</v>
      </c>
      <c r="L214">
        <f t="shared" si="21"/>
        <v>6</v>
      </c>
      <c r="M214">
        <v>6</v>
      </c>
      <c r="N214">
        <f t="shared" si="25"/>
        <v>0</v>
      </c>
      <c r="O214">
        <v>6</v>
      </c>
      <c r="R214">
        <v>25</v>
      </c>
      <c r="S214">
        <v>3</v>
      </c>
      <c r="T214" s="3">
        <f t="shared" si="22"/>
        <v>34</v>
      </c>
      <c r="U214" s="3" t="str">
        <f t="shared" si="23"/>
        <v>USTED ESTÁ AL DÍA</v>
      </c>
      <c r="V214" s="3" t="s">
        <v>27</v>
      </c>
      <c r="X214">
        <v>75</v>
      </c>
      <c r="Y214">
        <f t="shared" si="24"/>
        <v>109</v>
      </c>
    </row>
    <row r="215" spans="1:25" ht="15.75" hidden="1" customHeight="1" x14ac:dyDescent="0.35">
      <c r="A215" s="3">
        <v>17109</v>
      </c>
      <c r="B215" s="3" t="s">
        <v>23</v>
      </c>
      <c r="C215" s="2">
        <v>46179</v>
      </c>
      <c r="D215" s="2">
        <v>46174</v>
      </c>
      <c r="E215" s="2">
        <v>46122</v>
      </c>
      <c r="F215" s="2">
        <v>46152</v>
      </c>
      <c r="G215" t="s">
        <v>303</v>
      </c>
      <c r="H215" t="s">
        <v>286</v>
      </c>
      <c r="I215" t="s">
        <v>68</v>
      </c>
      <c r="J215">
        <v>69</v>
      </c>
      <c r="K215">
        <v>101</v>
      </c>
      <c r="L215">
        <f t="shared" si="21"/>
        <v>32</v>
      </c>
      <c r="M215">
        <v>32</v>
      </c>
      <c r="N215">
        <f t="shared" si="25"/>
        <v>0</v>
      </c>
      <c r="O215">
        <v>32</v>
      </c>
      <c r="R215">
        <v>25</v>
      </c>
      <c r="S215">
        <v>3</v>
      </c>
      <c r="T215" s="3">
        <f t="shared" si="22"/>
        <v>60</v>
      </c>
      <c r="U215" s="3" t="str">
        <f t="shared" si="23"/>
        <v>USTED ESTÁ AL DÍA</v>
      </c>
      <c r="V215" s="3" t="s">
        <v>27</v>
      </c>
      <c r="W215">
        <v>50</v>
      </c>
      <c r="Y215">
        <f t="shared" si="24"/>
        <v>110</v>
      </c>
    </row>
    <row r="216" spans="1:25" ht="15.75" hidden="1" customHeight="1" x14ac:dyDescent="0.35">
      <c r="A216" s="3">
        <v>17110</v>
      </c>
      <c r="B216" s="3" t="s">
        <v>23</v>
      </c>
      <c r="C216" s="2">
        <v>46179</v>
      </c>
      <c r="D216" s="2">
        <v>46174</v>
      </c>
      <c r="E216" s="2">
        <v>46122</v>
      </c>
      <c r="F216" s="2">
        <v>46152</v>
      </c>
      <c r="G216" t="s">
        <v>304</v>
      </c>
      <c r="H216" t="s">
        <v>286</v>
      </c>
      <c r="I216" t="s">
        <v>97</v>
      </c>
      <c r="J216">
        <v>52</v>
      </c>
      <c r="K216">
        <v>71</v>
      </c>
      <c r="L216">
        <f t="shared" si="21"/>
        <v>19</v>
      </c>
      <c r="M216">
        <v>19</v>
      </c>
      <c r="N216">
        <f t="shared" si="25"/>
        <v>0</v>
      </c>
      <c r="O216">
        <v>19</v>
      </c>
      <c r="R216">
        <v>25</v>
      </c>
      <c r="S216">
        <v>3</v>
      </c>
      <c r="T216" s="3">
        <f t="shared" si="22"/>
        <v>47</v>
      </c>
      <c r="U216" s="3" t="str">
        <f t="shared" si="23"/>
        <v>USTED ESTÁ AL DÍA</v>
      </c>
      <c r="V216" s="3" t="s">
        <v>27</v>
      </c>
      <c r="W216">
        <v>50</v>
      </c>
      <c r="X216">
        <v>75</v>
      </c>
      <c r="Y216">
        <f t="shared" si="24"/>
        <v>172</v>
      </c>
    </row>
    <row r="217" spans="1:25" ht="15.75" hidden="1" customHeight="1" x14ac:dyDescent="0.35">
      <c r="A217" s="3">
        <v>17111</v>
      </c>
      <c r="B217" s="3" t="s">
        <v>23</v>
      </c>
      <c r="C217" s="2">
        <v>46179</v>
      </c>
      <c r="D217" s="2">
        <v>46174</v>
      </c>
      <c r="E217" s="2">
        <v>46122</v>
      </c>
      <c r="F217" s="2">
        <v>46152</v>
      </c>
      <c r="G217" t="s">
        <v>305</v>
      </c>
      <c r="H217" t="s">
        <v>286</v>
      </c>
      <c r="I217" t="s">
        <v>101</v>
      </c>
      <c r="J217">
        <v>2225</v>
      </c>
      <c r="K217">
        <v>2235</v>
      </c>
      <c r="L217">
        <f t="shared" si="21"/>
        <v>10</v>
      </c>
      <c r="M217">
        <v>10</v>
      </c>
      <c r="N217">
        <f t="shared" si="25"/>
        <v>0</v>
      </c>
      <c r="O217">
        <v>10</v>
      </c>
      <c r="S217">
        <v>3</v>
      </c>
      <c r="T217" s="3">
        <f t="shared" si="22"/>
        <v>13</v>
      </c>
      <c r="U217" s="3" t="str">
        <f t="shared" si="23"/>
        <v>USTED ESTÁ AL DÍA</v>
      </c>
      <c r="V217" s="3" t="s">
        <v>27</v>
      </c>
      <c r="W217">
        <v>50</v>
      </c>
      <c r="X217">
        <v>75</v>
      </c>
      <c r="Y217">
        <f t="shared" si="24"/>
        <v>138</v>
      </c>
    </row>
    <row r="218" spans="1:25" ht="15.75" hidden="1" customHeight="1" x14ac:dyDescent="0.35">
      <c r="A218" s="3">
        <v>17112</v>
      </c>
      <c r="B218" s="3" t="s">
        <v>23</v>
      </c>
      <c r="C218" s="2">
        <v>46179</v>
      </c>
      <c r="D218" s="2">
        <v>46174</v>
      </c>
      <c r="E218" s="2">
        <v>46122</v>
      </c>
      <c r="F218" s="2">
        <v>46152</v>
      </c>
      <c r="G218" t="s">
        <v>306</v>
      </c>
      <c r="H218" t="s">
        <v>286</v>
      </c>
      <c r="I218" t="s">
        <v>79</v>
      </c>
      <c r="J218">
        <v>14</v>
      </c>
      <c r="K218">
        <v>20</v>
      </c>
      <c r="L218">
        <f t="shared" si="21"/>
        <v>6</v>
      </c>
      <c r="M218">
        <v>6</v>
      </c>
      <c r="N218">
        <f t="shared" si="25"/>
        <v>0</v>
      </c>
      <c r="O218">
        <v>6</v>
      </c>
      <c r="S218">
        <v>3</v>
      </c>
      <c r="T218" s="3">
        <f t="shared" si="22"/>
        <v>9</v>
      </c>
      <c r="U218" s="3" t="str">
        <f t="shared" si="23"/>
        <v>USTED ESTÁ AL DÍA</v>
      </c>
      <c r="V218" s="3" t="s">
        <v>27</v>
      </c>
      <c r="Y218">
        <f t="shared" si="24"/>
        <v>9</v>
      </c>
    </row>
    <row r="219" spans="1:25" ht="15.75" hidden="1" customHeight="1" x14ac:dyDescent="0.35">
      <c r="A219" s="3">
        <v>17113</v>
      </c>
      <c r="B219" s="3" t="s">
        <v>23</v>
      </c>
      <c r="C219" s="2">
        <v>46179</v>
      </c>
      <c r="D219" s="2">
        <v>46174</v>
      </c>
      <c r="E219" s="2">
        <v>46122</v>
      </c>
      <c r="F219" s="2">
        <v>46152</v>
      </c>
      <c r="G219" t="s">
        <v>307</v>
      </c>
      <c r="H219" t="s">
        <v>286</v>
      </c>
      <c r="I219" t="s">
        <v>93</v>
      </c>
      <c r="J219">
        <v>68</v>
      </c>
      <c r="K219">
        <v>109</v>
      </c>
      <c r="L219">
        <f t="shared" si="21"/>
        <v>41</v>
      </c>
      <c r="M219">
        <v>41</v>
      </c>
      <c r="N219">
        <f t="shared" si="25"/>
        <v>0</v>
      </c>
      <c r="O219">
        <v>41</v>
      </c>
      <c r="R219">
        <v>25</v>
      </c>
      <c r="S219">
        <v>3</v>
      </c>
      <c r="T219" s="3">
        <f t="shared" si="22"/>
        <v>69</v>
      </c>
      <c r="U219" s="3" t="str">
        <f t="shared" si="23"/>
        <v>USTED ESTÁ AL DÍA</v>
      </c>
      <c r="V219" s="3" t="s">
        <v>27</v>
      </c>
      <c r="W219">
        <v>50</v>
      </c>
      <c r="X219">
        <v>75</v>
      </c>
      <c r="Y219">
        <f t="shared" si="24"/>
        <v>194</v>
      </c>
    </row>
    <row r="220" spans="1:25" ht="15.75" hidden="1" customHeight="1" x14ac:dyDescent="0.35">
      <c r="A220" s="3">
        <v>17114</v>
      </c>
      <c r="B220" s="3" t="s">
        <v>23</v>
      </c>
      <c r="C220" s="2">
        <v>46179</v>
      </c>
      <c r="D220" s="2">
        <v>46174</v>
      </c>
      <c r="E220" s="2">
        <v>46122</v>
      </c>
      <c r="F220" s="2">
        <v>46152</v>
      </c>
      <c r="G220" t="s">
        <v>308</v>
      </c>
      <c r="H220" t="s">
        <v>286</v>
      </c>
      <c r="I220" t="s">
        <v>95</v>
      </c>
      <c r="J220">
        <v>27</v>
      </c>
      <c r="K220">
        <v>29</v>
      </c>
      <c r="L220">
        <f t="shared" si="21"/>
        <v>2</v>
      </c>
      <c r="M220">
        <v>5</v>
      </c>
      <c r="O220">
        <v>5</v>
      </c>
      <c r="R220">
        <v>25</v>
      </c>
      <c r="S220">
        <v>3</v>
      </c>
      <c r="T220" s="3">
        <f t="shared" si="22"/>
        <v>33</v>
      </c>
      <c r="U220" s="3" t="str">
        <f t="shared" si="23"/>
        <v>USTED ESTÁ AL DÍA</v>
      </c>
      <c r="V220" s="3" t="s">
        <v>27</v>
      </c>
      <c r="Y220">
        <f t="shared" si="24"/>
        <v>33</v>
      </c>
    </row>
    <row r="221" spans="1:25" ht="15.75" hidden="1" customHeight="1" x14ac:dyDescent="0.35">
      <c r="A221" s="3">
        <v>17115</v>
      </c>
      <c r="B221" s="3" t="s">
        <v>23</v>
      </c>
      <c r="C221" s="2">
        <v>46179</v>
      </c>
      <c r="D221" s="2">
        <v>46174</v>
      </c>
      <c r="E221" s="2">
        <v>46122</v>
      </c>
      <c r="F221" s="2">
        <v>46152</v>
      </c>
      <c r="G221" t="s">
        <v>309</v>
      </c>
      <c r="H221" t="s">
        <v>286</v>
      </c>
      <c r="I221" t="s">
        <v>91</v>
      </c>
      <c r="J221">
        <v>49</v>
      </c>
      <c r="K221">
        <v>71</v>
      </c>
      <c r="L221">
        <f t="shared" si="21"/>
        <v>22</v>
      </c>
      <c r="M221">
        <v>22</v>
      </c>
      <c r="N221">
        <f>IF(L221&lt;&gt;M221,1,0)</f>
        <v>0</v>
      </c>
      <c r="O221">
        <v>22</v>
      </c>
      <c r="S221">
        <v>3</v>
      </c>
      <c r="T221" s="3">
        <f t="shared" si="22"/>
        <v>25</v>
      </c>
      <c r="U221" s="3" t="str">
        <f t="shared" si="23"/>
        <v>USTED ESTÁ AL DÍA</v>
      </c>
      <c r="V221" s="3" t="s">
        <v>27</v>
      </c>
      <c r="Y221">
        <f t="shared" si="24"/>
        <v>25</v>
      </c>
    </row>
    <row r="222" spans="1:25" ht="15.75" hidden="1" customHeight="1" x14ac:dyDescent="0.35">
      <c r="A222" s="3">
        <v>17116</v>
      </c>
      <c r="B222" s="3" t="s">
        <v>23</v>
      </c>
      <c r="C222" s="2">
        <v>46179</v>
      </c>
      <c r="D222" s="2">
        <v>46174</v>
      </c>
      <c r="E222" s="2">
        <v>46122</v>
      </c>
      <c r="F222" s="2">
        <v>46152</v>
      </c>
      <c r="G222" t="s">
        <v>310</v>
      </c>
      <c r="H222" t="s">
        <v>286</v>
      </c>
      <c r="I222" t="s">
        <v>84</v>
      </c>
      <c r="J222">
        <v>48</v>
      </c>
      <c r="K222">
        <v>68</v>
      </c>
      <c r="L222">
        <f t="shared" si="21"/>
        <v>20</v>
      </c>
      <c r="M222">
        <v>20</v>
      </c>
      <c r="N222">
        <f>IF(L222&lt;&gt;M222,1,0)</f>
        <v>0</v>
      </c>
      <c r="O222">
        <v>20</v>
      </c>
      <c r="R222">
        <v>25</v>
      </c>
      <c r="S222">
        <v>3</v>
      </c>
      <c r="T222" s="3">
        <f t="shared" si="22"/>
        <v>48</v>
      </c>
      <c r="U222" s="3" t="str">
        <f t="shared" si="23"/>
        <v>USTED ESTÁ AL DÍA</v>
      </c>
      <c r="V222" s="3" t="s">
        <v>27</v>
      </c>
      <c r="Y222">
        <f t="shared" si="24"/>
        <v>48</v>
      </c>
    </row>
    <row r="223" spans="1:25" ht="15.75" hidden="1" customHeight="1" x14ac:dyDescent="0.35">
      <c r="A223" s="3">
        <v>17117</v>
      </c>
      <c r="B223" s="3" t="s">
        <v>23</v>
      </c>
      <c r="C223" s="2">
        <v>46179</v>
      </c>
      <c r="D223" s="2">
        <v>46174</v>
      </c>
      <c r="E223" s="2">
        <v>46122</v>
      </c>
      <c r="F223" s="2">
        <v>46152</v>
      </c>
      <c r="G223" t="s">
        <v>311</v>
      </c>
      <c r="H223" t="s">
        <v>286</v>
      </c>
      <c r="I223" t="s">
        <v>124</v>
      </c>
      <c r="J223">
        <v>1732</v>
      </c>
      <c r="K223">
        <v>1761</v>
      </c>
      <c r="L223">
        <f t="shared" si="21"/>
        <v>29</v>
      </c>
      <c r="M223">
        <v>29</v>
      </c>
      <c r="N223">
        <f>IF(L223&lt;&gt;M223,1,0)</f>
        <v>0</v>
      </c>
      <c r="O223">
        <v>29</v>
      </c>
      <c r="R223">
        <v>50</v>
      </c>
      <c r="S223">
        <v>3</v>
      </c>
      <c r="T223" s="3">
        <f t="shared" si="22"/>
        <v>82</v>
      </c>
      <c r="U223" s="3" t="str">
        <f t="shared" si="23"/>
        <v>USTED ESTÁ AL DÍA</v>
      </c>
      <c r="V223" s="3" t="s">
        <v>27</v>
      </c>
      <c r="Y223">
        <f t="shared" si="24"/>
        <v>82</v>
      </c>
    </row>
    <row r="224" spans="1:25" ht="15.75" hidden="1" customHeight="1" x14ac:dyDescent="0.35">
      <c r="A224" s="3">
        <v>17118</v>
      </c>
      <c r="B224" s="3" t="s">
        <v>23</v>
      </c>
      <c r="C224" s="2">
        <v>46179</v>
      </c>
      <c r="D224" s="2">
        <v>46174</v>
      </c>
      <c r="E224" s="2">
        <v>46122</v>
      </c>
      <c r="F224" s="2">
        <v>46152</v>
      </c>
      <c r="G224" t="s">
        <v>312</v>
      </c>
      <c r="H224" t="s">
        <v>286</v>
      </c>
      <c r="I224" t="s">
        <v>146</v>
      </c>
      <c r="J224">
        <v>336</v>
      </c>
      <c r="K224">
        <v>344</v>
      </c>
      <c r="L224">
        <f t="shared" si="21"/>
        <v>8</v>
      </c>
      <c r="M224">
        <v>8</v>
      </c>
      <c r="N224">
        <f>IF(L224&lt;&gt;M224,1,0)</f>
        <v>0</v>
      </c>
      <c r="O224">
        <v>8</v>
      </c>
      <c r="S224">
        <v>3</v>
      </c>
      <c r="T224" s="3">
        <f t="shared" si="22"/>
        <v>11</v>
      </c>
      <c r="U224" s="3" t="str">
        <f t="shared" si="23"/>
        <v>USTED ESTÁ AL DÍA</v>
      </c>
      <c r="V224" s="3" t="s">
        <v>27</v>
      </c>
      <c r="W224">
        <v>50</v>
      </c>
      <c r="Y224">
        <f t="shared" si="24"/>
        <v>61</v>
      </c>
    </row>
    <row r="225" spans="1:25" ht="15.75" hidden="1" customHeight="1" x14ac:dyDescent="0.35">
      <c r="A225" s="3">
        <v>17119</v>
      </c>
      <c r="B225" s="3" t="s">
        <v>23</v>
      </c>
      <c r="C225" s="2">
        <v>46179</v>
      </c>
      <c r="D225" s="2">
        <v>46174</v>
      </c>
      <c r="E225" s="2">
        <v>46122</v>
      </c>
      <c r="F225" s="2">
        <v>46152</v>
      </c>
      <c r="G225" t="s">
        <v>313</v>
      </c>
      <c r="H225" t="s">
        <v>286</v>
      </c>
      <c r="I225" t="s">
        <v>45</v>
      </c>
      <c r="L225">
        <f t="shared" si="21"/>
        <v>0</v>
      </c>
      <c r="S225">
        <v>0</v>
      </c>
      <c r="T225" s="3">
        <f t="shared" si="22"/>
        <v>0</v>
      </c>
      <c r="U225" s="3" t="str">
        <f t="shared" si="23"/>
        <v>USTED ESTÁ AL DÍA</v>
      </c>
      <c r="V225" s="3" t="s">
        <v>27</v>
      </c>
      <c r="W225">
        <v>50</v>
      </c>
      <c r="X225">
        <v>75</v>
      </c>
      <c r="Y225">
        <f t="shared" si="24"/>
        <v>125</v>
      </c>
    </row>
    <row r="226" spans="1:25" ht="15.75" hidden="1" customHeight="1" x14ac:dyDescent="0.35">
      <c r="A226" s="3">
        <v>17120</v>
      </c>
      <c r="B226" s="3" t="s">
        <v>23</v>
      </c>
      <c r="C226" s="2">
        <v>46179</v>
      </c>
      <c r="D226" s="2">
        <v>46174</v>
      </c>
      <c r="E226" s="2">
        <v>46122</v>
      </c>
      <c r="F226" s="2">
        <v>46152</v>
      </c>
      <c r="G226" t="s">
        <v>314</v>
      </c>
      <c r="H226" t="s">
        <v>286</v>
      </c>
      <c r="I226" t="s">
        <v>315</v>
      </c>
      <c r="L226">
        <f t="shared" si="21"/>
        <v>0</v>
      </c>
      <c r="S226">
        <v>0</v>
      </c>
      <c r="T226" s="3">
        <f t="shared" si="22"/>
        <v>0</v>
      </c>
      <c r="U226" s="3" t="str">
        <f t="shared" si="23"/>
        <v>USTED ESTÁ AL DÍA</v>
      </c>
      <c r="V226" s="3" t="s">
        <v>27</v>
      </c>
      <c r="X226">
        <v>50</v>
      </c>
      <c r="Y226">
        <f t="shared" si="24"/>
        <v>50</v>
      </c>
    </row>
    <row r="227" spans="1:25" ht="15.75" hidden="1" customHeight="1" x14ac:dyDescent="0.35">
      <c r="A227" s="3">
        <v>17121</v>
      </c>
      <c r="B227" s="3" t="s">
        <v>23</v>
      </c>
      <c r="C227" s="2">
        <v>46179</v>
      </c>
      <c r="D227" s="2">
        <v>46174</v>
      </c>
      <c r="E227" s="2">
        <v>46122</v>
      </c>
      <c r="F227" s="2">
        <v>46152</v>
      </c>
      <c r="G227" t="s">
        <v>316</v>
      </c>
      <c r="H227" t="s">
        <v>286</v>
      </c>
      <c r="I227" t="s">
        <v>317</v>
      </c>
      <c r="L227">
        <f t="shared" si="21"/>
        <v>0</v>
      </c>
      <c r="S227">
        <v>0</v>
      </c>
      <c r="T227" s="3">
        <f t="shared" si="22"/>
        <v>0</v>
      </c>
      <c r="U227" s="3" t="str">
        <f t="shared" si="23"/>
        <v>USTED ESTÁ AL DÍA</v>
      </c>
      <c r="V227" s="3" t="s">
        <v>27</v>
      </c>
      <c r="X227">
        <v>50</v>
      </c>
      <c r="Y227">
        <f t="shared" si="24"/>
        <v>50</v>
      </c>
    </row>
    <row r="228" spans="1:25" ht="15.75" hidden="1" customHeight="1" x14ac:dyDescent="0.35">
      <c r="A228" s="3">
        <v>17122</v>
      </c>
      <c r="B228" s="3" t="s">
        <v>23</v>
      </c>
      <c r="C228" s="2">
        <v>46179</v>
      </c>
      <c r="D228" s="2">
        <v>46174</v>
      </c>
      <c r="E228" s="2">
        <v>46122</v>
      </c>
      <c r="F228" s="2">
        <v>46152</v>
      </c>
      <c r="G228" t="s">
        <v>318</v>
      </c>
      <c r="H228" t="s">
        <v>319</v>
      </c>
      <c r="I228" t="s">
        <v>26</v>
      </c>
      <c r="J228">
        <v>113</v>
      </c>
      <c r="K228">
        <v>116</v>
      </c>
      <c r="L228">
        <f t="shared" si="21"/>
        <v>3</v>
      </c>
      <c r="M228">
        <v>5</v>
      </c>
      <c r="O228">
        <v>5</v>
      </c>
      <c r="S228">
        <v>3</v>
      </c>
      <c r="T228" s="3">
        <f t="shared" si="22"/>
        <v>8</v>
      </c>
      <c r="U228" s="3" t="str">
        <f t="shared" si="23"/>
        <v>USTED ESTÁ AL DÍA</v>
      </c>
      <c r="V228" s="3" t="s">
        <v>27</v>
      </c>
      <c r="Y228">
        <f t="shared" si="24"/>
        <v>8</v>
      </c>
    </row>
    <row r="229" spans="1:25" ht="15.75" hidden="1" customHeight="1" x14ac:dyDescent="0.35">
      <c r="A229" s="3">
        <v>17123</v>
      </c>
      <c r="B229" s="3" t="s">
        <v>23</v>
      </c>
      <c r="C229" s="2">
        <v>46179</v>
      </c>
      <c r="D229" s="2">
        <v>46174</v>
      </c>
      <c r="E229" s="2">
        <v>46122</v>
      </c>
      <c r="F229" s="2">
        <v>46152</v>
      </c>
      <c r="G229" t="s">
        <v>320</v>
      </c>
      <c r="H229" t="s">
        <v>319</v>
      </c>
      <c r="I229" t="s">
        <v>29</v>
      </c>
      <c r="J229">
        <v>621</v>
      </c>
      <c r="K229">
        <v>627</v>
      </c>
      <c r="L229">
        <f t="shared" si="21"/>
        <v>6</v>
      </c>
      <c r="M229">
        <v>6</v>
      </c>
      <c r="N229">
        <f>IF(L229&lt;&gt;M229,1,0)</f>
        <v>0</v>
      </c>
      <c r="O229">
        <v>6</v>
      </c>
      <c r="S229">
        <v>3</v>
      </c>
      <c r="T229" s="3">
        <f t="shared" si="22"/>
        <v>9</v>
      </c>
      <c r="U229" s="3" t="str">
        <f t="shared" si="23"/>
        <v>USTED ESTÁ AL DÍA</v>
      </c>
      <c r="V229" s="3" t="s">
        <v>27</v>
      </c>
      <c r="W229">
        <v>50</v>
      </c>
      <c r="X229">
        <v>50</v>
      </c>
      <c r="Y229">
        <f t="shared" si="24"/>
        <v>109</v>
      </c>
    </row>
    <row r="230" spans="1:25" ht="15.75" hidden="1" customHeight="1" x14ac:dyDescent="0.35">
      <c r="A230" s="3">
        <v>17124</v>
      </c>
      <c r="B230" s="3" t="s">
        <v>23</v>
      </c>
      <c r="C230" s="2">
        <v>46179</v>
      </c>
      <c r="D230" s="2">
        <v>46174</v>
      </c>
      <c r="E230" s="2">
        <v>46122</v>
      </c>
      <c r="F230" s="2">
        <v>46152</v>
      </c>
      <c r="G230" t="s">
        <v>321</v>
      </c>
      <c r="H230" t="s">
        <v>319</v>
      </c>
      <c r="I230" t="s">
        <v>33</v>
      </c>
      <c r="J230">
        <v>1050</v>
      </c>
      <c r="K230">
        <v>1054</v>
      </c>
      <c r="L230">
        <f t="shared" si="21"/>
        <v>4</v>
      </c>
      <c r="M230">
        <v>5</v>
      </c>
      <c r="O230">
        <v>5</v>
      </c>
      <c r="S230">
        <v>3</v>
      </c>
      <c r="T230" s="3">
        <f t="shared" si="22"/>
        <v>8</v>
      </c>
      <c r="U230" s="3" t="str">
        <f t="shared" si="23"/>
        <v>USTED ESTÁ AL DÍA</v>
      </c>
      <c r="V230" s="3" t="s">
        <v>27</v>
      </c>
      <c r="X230">
        <v>50</v>
      </c>
      <c r="Y230">
        <f t="shared" si="24"/>
        <v>58</v>
      </c>
    </row>
    <row r="231" spans="1:25" ht="15.75" hidden="1" customHeight="1" x14ac:dyDescent="0.35">
      <c r="A231" s="3">
        <v>17125</v>
      </c>
      <c r="B231" s="3" t="s">
        <v>23</v>
      </c>
      <c r="C231" s="2">
        <v>46179</v>
      </c>
      <c r="D231" s="2">
        <v>46174</v>
      </c>
      <c r="E231" s="2">
        <v>46122</v>
      </c>
      <c r="F231" s="2">
        <v>46152</v>
      </c>
      <c r="G231" t="s">
        <v>322</v>
      </c>
      <c r="H231" t="s">
        <v>319</v>
      </c>
      <c r="I231" t="s">
        <v>35</v>
      </c>
      <c r="J231">
        <v>20</v>
      </c>
      <c r="K231">
        <v>20</v>
      </c>
      <c r="L231">
        <f t="shared" si="21"/>
        <v>0</v>
      </c>
      <c r="M231">
        <v>5</v>
      </c>
      <c r="O231">
        <v>5</v>
      </c>
      <c r="R231">
        <v>25</v>
      </c>
      <c r="S231">
        <v>3</v>
      </c>
      <c r="T231" s="3">
        <f t="shared" si="22"/>
        <v>33</v>
      </c>
      <c r="U231" s="3" t="str">
        <f t="shared" si="23"/>
        <v>USTED ESTÁ AL DÍA</v>
      </c>
      <c r="V231" s="3" t="s">
        <v>27</v>
      </c>
      <c r="W231">
        <v>30</v>
      </c>
      <c r="X231">
        <v>50</v>
      </c>
      <c r="Y231">
        <f t="shared" si="24"/>
        <v>113</v>
      </c>
    </row>
    <row r="232" spans="1:25" ht="15.75" hidden="1" customHeight="1" x14ac:dyDescent="0.35">
      <c r="A232" s="3">
        <v>17126</v>
      </c>
      <c r="B232" s="3" t="s">
        <v>23</v>
      </c>
      <c r="C232" s="2">
        <v>46179</v>
      </c>
      <c r="D232" s="2">
        <v>46174</v>
      </c>
      <c r="E232" s="2">
        <v>46122</v>
      </c>
      <c r="F232" s="2">
        <v>46152</v>
      </c>
      <c r="G232" t="s">
        <v>323</v>
      </c>
      <c r="H232" t="s">
        <v>319</v>
      </c>
      <c r="I232" t="s">
        <v>31</v>
      </c>
      <c r="J232">
        <v>910</v>
      </c>
      <c r="K232">
        <v>916</v>
      </c>
      <c r="L232">
        <f t="shared" si="21"/>
        <v>6</v>
      </c>
      <c r="M232">
        <v>6</v>
      </c>
      <c r="N232">
        <f>IF(L232&lt;&gt;M232,1,0)</f>
        <v>0</v>
      </c>
      <c r="O232">
        <v>6</v>
      </c>
      <c r="P232">
        <v>9</v>
      </c>
      <c r="S232">
        <v>3</v>
      </c>
      <c r="T232" s="3">
        <f t="shared" si="22"/>
        <v>18</v>
      </c>
      <c r="U232" s="3" t="str">
        <f t="shared" si="23"/>
        <v>USTED NO ESTÁ AL DÍA</v>
      </c>
      <c r="V232" s="3" t="s">
        <v>27</v>
      </c>
      <c r="W232">
        <v>50</v>
      </c>
      <c r="Y232">
        <f t="shared" si="24"/>
        <v>68</v>
      </c>
    </row>
    <row r="233" spans="1:25" ht="15.75" hidden="1" customHeight="1" x14ac:dyDescent="0.35">
      <c r="A233" s="3">
        <v>17127</v>
      </c>
      <c r="B233" s="3" t="s">
        <v>23</v>
      </c>
      <c r="C233" s="2">
        <v>46179</v>
      </c>
      <c r="D233" s="2">
        <v>46174</v>
      </c>
      <c r="E233" s="2">
        <v>46122</v>
      </c>
      <c r="F233" s="2">
        <v>46152</v>
      </c>
      <c r="G233" t="s">
        <v>324</v>
      </c>
      <c r="H233" t="s">
        <v>319</v>
      </c>
      <c r="I233" t="s">
        <v>68</v>
      </c>
      <c r="L233">
        <f t="shared" si="21"/>
        <v>0</v>
      </c>
      <c r="S233">
        <v>0</v>
      </c>
      <c r="T233" s="3">
        <f t="shared" si="22"/>
        <v>0</v>
      </c>
      <c r="U233" s="3" t="str">
        <f t="shared" si="23"/>
        <v>USTED ESTÁ AL DÍA</v>
      </c>
      <c r="V233" s="3" t="s">
        <v>27</v>
      </c>
      <c r="W233">
        <v>50</v>
      </c>
      <c r="Y233">
        <f t="shared" si="24"/>
        <v>50</v>
      </c>
    </row>
    <row r="234" spans="1:25" ht="15.75" hidden="1" customHeight="1" x14ac:dyDescent="0.35">
      <c r="A234" s="3">
        <v>17128</v>
      </c>
      <c r="B234" s="3" t="s">
        <v>23</v>
      </c>
      <c r="C234" s="2">
        <v>46179</v>
      </c>
      <c r="D234" s="2">
        <v>46174</v>
      </c>
      <c r="E234" s="2">
        <v>46122</v>
      </c>
      <c r="F234" s="2">
        <v>46152</v>
      </c>
      <c r="G234" t="s">
        <v>325</v>
      </c>
      <c r="H234" t="s">
        <v>319</v>
      </c>
      <c r="I234" t="s">
        <v>37</v>
      </c>
      <c r="L234">
        <f t="shared" si="21"/>
        <v>0</v>
      </c>
      <c r="S234">
        <v>0</v>
      </c>
      <c r="T234" s="3">
        <f t="shared" si="22"/>
        <v>0</v>
      </c>
      <c r="U234" s="3" t="str">
        <f t="shared" si="23"/>
        <v>USTED ESTÁ AL DÍA</v>
      </c>
      <c r="V234" s="3" t="s">
        <v>27</v>
      </c>
      <c r="X234">
        <v>50</v>
      </c>
      <c r="Y234">
        <f t="shared" si="24"/>
        <v>50</v>
      </c>
    </row>
    <row r="235" spans="1:25" ht="15.75" hidden="1" customHeight="1" x14ac:dyDescent="0.35">
      <c r="A235" s="3">
        <v>17129</v>
      </c>
      <c r="B235" s="3" t="s">
        <v>23</v>
      </c>
      <c r="C235" s="2">
        <v>46179</v>
      </c>
      <c r="D235" s="2">
        <v>46174</v>
      </c>
      <c r="E235" s="2">
        <v>46122</v>
      </c>
      <c r="F235" s="2">
        <v>46152</v>
      </c>
      <c r="G235" t="s">
        <v>326</v>
      </c>
      <c r="H235" t="s">
        <v>319</v>
      </c>
      <c r="I235" t="s">
        <v>39</v>
      </c>
      <c r="L235">
        <f t="shared" si="21"/>
        <v>0</v>
      </c>
      <c r="S235">
        <v>0</v>
      </c>
      <c r="T235" s="3">
        <f t="shared" si="22"/>
        <v>0</v>
      </c>
      <c r="U235" s="3" t="str">
        <f t="shared" si="23"/>
        <v>USTED ESTÁ AL DÍA</v>
      </c>
      <c r="V235" s="3" t="s">
        <v>27</v>
      </c>
      <c r="W235">
        <v>50</v>
      </c>
      <c r="X235">
        <v>50</v>
      </c>
      <c r="Y235">
        <f t="shared" si="24"/>
        <v>100</v>
      </c>
    </row>
    <row r="236" spans="1:25" ht="15.75" hidden="1" customHeight="1" x14ac:dyDescent="0.35">
      <c r="A236" s="3">
        <v>17130</v>
      </c>
      <c r="B236" s="3" t="s">
        <v>23</v>
      </c>
      <c r="C236" s="2">
        <v>46179</v>
      </c>
      <c r="D236" s="2">
        <v>46174</v>
      </c>
      <c r="E236" s="2">
        <v>46122</v>
      </c>
      <c r="F236" s="2">
        <v>46152</v>
      </c>
      <c r="G236" t="s">
        <v>327</v>
      </c>
      <c r="H236" t="s">
        <v>319</v>
      </c>
      <c r="I236" t="s">
        <v>41</v>
      </c>
      <c r="L236">
        <f t="shared" si="21"/>
        <v>0</v>
      </c>
      <c r="S236">
        <v>0</v>
      </c>
      <c r="T236" s="3">
        <f t="shared" si="22"/>
        <v>0</v>
      </c>
      <c r="U236" s="3" t="str">
        <f t="shared" si="23"/>
        <v>USTED ESTÁ AL DÍA</v>
      </c>
      <c r="V236" s="3" t="s">
        <v>27</v>
      </c>
      <c r="W236">
        <v>30</v>
      </c>
      <c r="X236">
        <v>50</v>
      </c>
      <c r="Y236">
        <f t="shared" si="24"/>
        <v>80</v>
      </c>
    </row>
    <row r="237" spans="1:25" ht="15.75" hidden="1" customHeight="1" x14ac:dyDescent="0.35">
      <c r="A237" s="3">
        <v>17131</v>
      </c>
      <c r="B237" s="3" t="s">
        <v>23</v>
      </c>
      <c r="C237" s="2">
        <v>46179</v>
      </c>
      <c r="D237" s="2">
        <v>46174</v>
      </c>
      <c r="E237" s="2">
        <v>46122</v>
      </c>
      <c r="F237" s="2">
        <v>46152</v>
      </c>
      <c r="G237" t="s">
        <v>328</v>
      </c>
      <c r="H237" t="s">
        <v>319</v>
      </c>
      <c r="I237" t="s">
        <v>43</v>
      </c>
      <c r="L237">
        <f t="shared" si="21"/>
        <v>0</v>
      </c>
      <c r="S237">
        <v>0</v>
      </c>
      <c r="T237" s="3">
        <f t="shared" si="22"/>
        <v>0</v>
      </c>
      <c r="U237" s="3" t="str">
        <f t="shared" si="23"/>
        <v>USTED ESTÁ AL DÍA</v>
      </c>
      <c r="V237" s="3" t="s">
        <v>27</v>
      </c>
      <c r="W237">
        <v>30</v>
      </c>
      <c r="X237">
        <v>75</v>
      </c>
      <c r="Y237">
        <f t="shared" si="24"/>
        <v>105</v>
      </c>
    </row>
    <row r="238" spans="1:25" ht="15.75" hidden="1" customHeight="1" x14ac:dyDescent="0.35">
      <c r="A238" s="3">
        <v>17132</v>
      </c>
      <c r="B238" s="3" t="s">
        <v>23</v>
      </c>
      <c r="C238" s="2">
        <v>46179</v>
      </c>
      <c r="D238" s="2">
        <v>46174</v>
      </c>
      <c r="E238" s="2">
        <v>46122</v>
      </c>
      <c r="F238" s="2">
        <v>46152</v>
      </c>
      <c r="G238" t="s">
        <v>329</v>
      </c>
      <c r="H238" t="s">
        <v>319</v>
      </c>
      <c r="I238" t="s">
        <v>45</v>
      </c>
      <c r="L238">
        <f t="shared" si="21"/>
        <v>0</v>
      </c>
      <c r="S238">
        <v>0</v>
      </c>
      <c r="T238" s="3">
        <f t="shared" si="22"/>
        <v>0</v>
      </c>
      <c r="U238" s="3" t="str">
        <f t="shared" si="23"/>
        <v>USTED ESTÁ AL DÍA</v>
      </c>
      <c r="V238" s="3" t="s">
        <v>27</v>
      </c>
      <c r="W238">
        <v>50</v>
      </c>
      <c r="X238">
        <v>75</v>
      </c>
      <c r="Y238">
        <f t="shared" si="24"/>
        <v>125</v>
      </c>
    </row>
    <row r="239" spans="1:25" ht="15.75" hidden="1" customHeight="1" x14ac:dyDescent="0.35">
      <c r="A239" s="3">
        <v>17133</v>
      </c>
      <c r="B239" s="3" t="s">
        <v>23</v>
      </c>
      <c r="C239" s="2">
        <v>46179</v>
      </c>
      <c r="D239" s="2">
        <v>46174</v>
      </c>
      <c r="E239" s="2">
        <v>46122</v>
      </c>
      <c r="F239" s="2">
        <v>46152</v>
      </c>
      <c r="G239" t="s">
        <v>330</v>
      </c>
      <c r="H239" t="s">
        <v>319</v>
      </c>
      <c r="I239" t="s">
        <v>47</v>
      </c>
      <c r="L239">
        <f t="shared" si="21"/>
        <v>0</v>
      </c>
      <c r="S239">
        <v>0</v>
      </c>
      <c r="T239" s="3">
        <f t="shared" si="22"/>
        <v>0</v>
      </c>
      <c r="U239" s="3" t="str">
        <f t="shared" si="23"/>
        <v>USTED ESTÁ AL DÍA</v>
      </c>
      <c r="V239" s="3" t="s">
        <v>27</v>
      </c>
      <c r="W239">
        <v>30</v>
      </c>
      <c r="X239">
        <v>50</v>
      </c>
      <c r="Y239">
        <f t="shared" si="24"/>
        <v>80</v>
      </c>
    </row>
    <row r="240" spans="1:25" ht="15.75" hidden="1" customHeight="1" x14ac:dyDescent="0.35">
      <c r="A240" s="3">
        <v>17134</v>
      </c>
      <c r="B240" s="3" t="s">
        <v>23</v>
      </c>
      <c r="C240" s="2">
        <v>46179</v>
      </c>
      <c r="D240" s="2">
        <v>46174</v>
      </c>
      <c r="E240" s="2">
        <v>46122</v>
      </c>
      <c r="F240" s="2">
        <v>46152</v>
      </c>
      <c r="G240" t="s">
        <v>331</v>
      </c>
      <c r="H240" t="s">
        <v>319</v>
      </c>
      <c r="I240" t="s">
        <v>66</v>
      </c>
      <c r="L240">
        <f t="shared" si="21"/>
        <v>0</v>
      </c>
      <c r="S240">
        <v>0</v>
      </c>
      <c r="T240" s="3">
        <f t="shared" si="22"/>
        <v>0</v>
      </c>
      <c r="U240" s="3" t="str">
        <f t="shared" si="23"/>
        <v>USTED ESTÁ AL DÍA</v>
      </c>
      <c r="V240" s="3" t="s">
        <v>27</v>
      </c>
      <c r="W240">
        <v>50</v>
      </c>
      <c r="X240">
        <v>50</v>
      </c>
      <c r="Y240">
        <f t="shared" si="24"/>
        <v>100</v>
      </c>
    </row>
    <row r="241" spans="1:25" ht="15.75" hidden="1" customHeight="1" x14ac:dyDescent="0.35">
      <c r="A241" s="3">
        <v>17135</v>
      </c>
      <c r="B241" s="3" t="s">
        <v>23</v>
      </c>
      <c r="C241" s="2">
        <v>46179</v>
      </c>
      <c r="D241" s="2">
        <v>46174</v>
      </c>
      <c r="E241" s="2">
        <v>46122</v>
      </c>
      <c r="F241" s="2">
        <v>46152</v>
      </c>
      <c r="G241" t="s">
        <v>332</v>
      </c>
      <c r="H241" t="s">
        <v>319</v>
      </c>
      <c r="I241" t="s">
        <v>97</v>
      </c>
      <c r="L241">
        <f t="shared" si="21"/>
        <v>0</v>
      </c>
      <c r="S241">
        <v>0</v>
      </c>
      <c r="T241" s="3">
        <f t="shared" si="22"/>
        <v>0</v>
      </c>
      <c r="U241" s="3" t="str">
        <f t="shared" si="23"/>
        <v>USTED ESTÁ AL DÍA</v>
      </c>
      <c r="V241" s="3" t="s">
        <v>27</v>
      </c>
      <c r="X241">
        <v>75</v>
      </c>
      <c r="Y241">
        <f t="shared" si="24"/>
        <v>75</v>
      </c>
    </row>
    <row r="242" spans="1:25" ht="15.75" hidden="1" customHeight="1" x14ac:dyDescent="0.35">
      <c r="A242" s="3">
        <v>17136</v>
      </c>
      <c r="B242" s="3" t="s">
        <v>23</v>
      </c>
      <c r="C242" s="2">
        <v>46179</v>
      </c>
      <c r="D242" s="2">
        <v>46174</v>
      </c>
      <c r="E242" s="2">
        <v>46122</v>
      </c>
      <c r="F242" s="2">
        <v>46152</v>
      </c>
      <c r="G242" t="s">
        <v>333</v>
      </c>
      <c r="H242" t="s">
        <v>319</v>
      </c>
      <c r="I242" t="s">
        <v>101</v>
      </c>
      <c r="L242">
        <f t="shared" si="21"/>
        <v>0</v>
      </c>
      <c r="S242">
        <v>0</v>
      </c>
      <c r="T242" s="3">
        <f t="shared" si="22"/>
        <v>0</v>
      </c>
      <c r="U242" s="3" t="str">
        <f t="shared" si="23"/>
        <v>USTED ESTÁ AL DÍA</v>
      </c>
      <c r="V242" s="3" t="s">
        <v>27</v>
      </c>
      <c r="W242">
        <v>50</v>
      </c>
      <c r="Y242">
        <f t="shared" si="24"/>
        <v>50</v>
      </c>
    </row>
    <row r="243" spans="1:25" ht="15.75" hidden="1" customHeight="1" x14ac:dyDescent="0.35">
      <c r="A243" s="3">
        <v>17137</v>
      </c>
      <c r="B243" s="3" t="s">
        <v>23</v>
      </c>
      <c r="C243" s="2">
        <v>46179</v>
      </c>
      <c r="D243" s="2">
        <v>46174</v>
      </c>
      <c r="E243" s="2">
        <v>46122</v>
      </c>
      <c r="F243" s="2">
        <v>46152</v>
      </c>
      <c r="G243" t="s">
        <v>334</v>
      </c>
      <c r="H243" t="s">
        <v>335</v>
      </c>
      <c r="I243" t="s">
        <v>68</v>
      </c>
      <c r="J243">
        <v>313</v>
      </c>
      <c r="K243">
        <v>345</v>
      </c>
      <c r="L243">
        <f t="shared" si="21"/>
        <v>32</v>
      </c>
      <c r="M243">
        <v>32</v>
      </c>
      <c r="N243">
        <f>IF(L243&lt;&gt;M243,1,0)</f>
        <v>0</v>
      </c>
      <c r="O243">
        <v>32</v>
      </c>
      <c r="P243">
        <v>36</v>
      </c>
      <c r="S243">
        <v>3</v>
      </c>
      <c r="T243" s="3">
        <f t="shared" si="22"/>
        <v>71</v>
      </c>
      <c r="U243" s="3" t="str">
        <f t="shared" si="23"/>
        <v>USTED NO ESTÁ AL DÍA</v>
      </c>
      <c r="V243" s="3" t="s">
        <v>27</v>
      </c>
      <c r="Y243">
        <f t="shared" si="24"/>
        <v>71</v>
      </c>
    </row>
    <row r="244" spans="1:25" ht="15.75" hidden="1" customHeight="1" x14ac:dyDescent="0.35">
      <c r="A244" s="3">
        <v>17138</v>
      </c>
      <c r="B244" s="3" t="s">
        <v>23</v>
      </c>
      <c r="C244" s="2">
        <v>46179</v>
      </c>
      <c r="D244" s="2">
        <v>46174</v>
      </c>
      <c r="E244" s="2">
        <v>46122</v>
      </c>
      <c r="F244" s="2">
        <v>46152</v>
      </c>
      <c r="G244" t="s">
        <v>336</v>
      </c>
      <c r="H244" t="s">
        <v>335</v>
      </c>
      <c r="I244" t="s">
        <v>79</v>
      </c>
      <c r="J244">
        <v>26</v>
      </c>
      <c r="K244">
        <v>33</v>
      </c>
      <c r="L244">
        <f t="shared" si="21"/>
        <v>7</v>
      </c>
      <c r="M244">
        <v>7</v>
      </c>
      <c r="N244">
        <f>IF(L244&lt;&gt;M244,1,0)</f>
        <v>0</v>
      </c>
      <c r="O244">
        <v>7</v>
      </c>
      <c r="P244">
        <v>15</v>
      </c>
      <c r="S244">
        <v>3</v>
      </c>
      <c r="T244" s="3">
        <f t="shared" si="22"/>
        <v>25</v>
      </c>
      <c r="U244" s="3" t="str">
        <f t="shared" si="23"/>
        <v>USTED NO ESTÁ AL DÍA</v>
      </c>
      <c r="V244" s="3" t="s">
        <v>27</v>
      </c>
      <c r="X244">
        <v>75</v>
      </c>
      <c r="Y244">
        <f t="shared" si="24"/>
        <v>100</v>
      </c>
    </row>
    <row r="245" spans="1:25" ht="15.75" hidden="1" customHeight="1" x14ac:dyDescent="0.35">
      <c r="A245" s="3">
        <v>17139</v>
      </c>
      <c r="B245" s="3" t="s">
        <v>23</v>
      </c>
      <c r="C245" s="2">
        <v>46179</v>
      </c>
      <c r="D245" s="2">
        <v>46174</v>
      </c>
      <c r="E245" s="2">
        <v>46122</v>
      </c>
      <c r="F245" s="2">
        <v>46152</v>
      </c>
      <c r="G245" t="s">
        <v>337</v>
      </c>
      <c r="H245" t="s">
        <v>335</v>
      </c>
      <c r="I245" t="s">
        <v>84</v>
      </c>
      <c r="J245">
        <v>0</v>
      </c>
      <c r="K245">
        <v>0</v>
      </c>
      <c r="L245">
        <f t="shared" si="21"/>
        <v>0</v>
      </c>
      <c r="M245">
        <v>5</v>
      </c>
      <c r="O245">
        <v>5</v>
      </c>
      <c r="P245">
        <v>86</v>
      </c>
      <c r="R245">
        <v>25</v>
      </c>
      <c r="S245">
        <v>3</v>
      </c>
      <c r="T245" s="3">
        <f t="shared" si="22"/>
        <v>119</v>
      </c>
      <c r="U245" s="3" t="str">
        <f t="shared" si="23"/>
        <v>USTED NO ESTÁ AL DÍA</v>
      </c>
      <c r="V245" s="3" t="s">
        <v>27</v>
      </c>
      <c r="X245">
        <v>50</v>
      </c>
      <c r="Y245">
        <f t="shared" si="24"/>
        <v>169</v>
      </c>
    </row>
    <row r="246" spans="1:25" ht="15.75" hidden="1" customHeight="1" x14ac:dyDescent="0.35">
      <c r="A246" s="3">
        <v>17140</v>
      </c>
      <c r="B246" s="3" t="s">
        <v>23</v>
      </c>
      <c r="C246" s="2">
        <v>46179</v>
      </c>
      <c r="D246" s="2">
        <v>46174</v>
      </c>
      <c r="E246" s="2">
        <v>46122</v>
      </c>
      <c r="F246" s="2">
        <v>46152</v>
      </c>
      <c r="G246" t="s">
        <v>338</v>
      </c>
      <c r="H246" t="s">
        <v>335</v>
      </c>
      <c r="I246" t="s">
        <v>26</v>
      </c>
      <c r="J246">
        <v>35</v>
      </c>
      <c r="K246">
        <v>54</v>
      </c>
      <c r="L246">
        <f t="shared" si="21"/>
        <v>19</v>
      </c>
      <c r="M246">
        <v>19</v>
      </c>
      <c r="N246">
        <f t="shared" ref="N246:N252" si="26">IF(L246&lt;&gt;M246,1,0)</f>
        <v>0</v>
      </c>
      <c r="O246">
        <v>19</v>
      </c>
      <c r="R246">
        <v>25</v>
      </c>
      <c r="S246">
        <v>3</v>
      </c>
      <c r="T246" s="3">
        <f t="shared" si="22"/>
        <v>47</v>
      </c>
      <c r="U246" s="3" t="str">
        <f t="shared" si="23"/>
        <v>USTED ESTÁ AL DÍA</v>
      </c>
      <c r="V246" s="3" t="s">
        <v>27</v>
      </c>
      <c r="Y246">
        <f t="shared" si="24"/>
        <v>47</v>
      </c>
    </row>
    <row r="247" spans="1:25" ht="15.75" hidden="1" customHeight="1" x14ac:dyDescent="0.35">
      <c r="A247" s="3">
        <v>17141</v>
      </c>
      <c r="B247" s="3" t="s">
        <v>23</v>
      </c>
      <c r="C247" s="2">
        <v>46179</v>
      </c>
      <c r="D247" s="2">
        <v>46174</v>
      </c>
      <c r="E247" s="2">
        <v>46122</v>
      </c>
      <c r="F247" s="2">
        <v>46152</v>
      </c>
      <c r="G247" t="s">
        <v>339</v>
      </c>
      <c r="H247" t="s">
        <v>335</v>
      </c>
      <c r="I247" t="s">
        <v>29</v>
      </c>
      <c r="J247">
        <v>2245</v>
      </c>
      <c r="K247">
        <v>2264</v>
      </c>
      <c r="L247">
        <f t="shared" si="21"/>
        <v>19</v>
      </c>
      <c r="M247">
        <v>19</v>
      </c>
      <c r="N247">
        <f t="shared" si="26"/>
        <v>0</v>
      </c>
      <c r="O247">
        <v>19</v>
      </c>
      <c r="S247">
        <v>3</v>
      </c>
      <c r="T247" s="3">
        <f t="shared" si="22"/>
        <v>22</v>
      </c>
      <c r="U247" s="3" t="str">
        <f t="shared" si="23"/>
        <v>USTED ESTÁ AL DÍA</v>
      </c>
      <c r="V247" s="3" t="s">
        <v>27</v>
      </c>
      <c r="Y247">
        <f t="shared" si="24"/>
        <v>22</v>
      </c>
    </row>
    <row r="248" spans="1:25" ht="15.75" hidden="1" customHeight="1" x14ac:dyDescent="0.35">
      <c r="A248" s="3">
        <v>17142</v>
      </c>
      <c r="B248" s="3" t="s">
        <v>23</v>
      </c>
      <c r="C248" s="2">
        <v>46179</v>
      </c>
      <c r="D248" s="2">
        <v>46174</v>
      </c>
      <c r="E248" s="2">
        <v>46122</v>
      </c>
      <c r="F248" s="2">
        <v>46152</v>
      </c>
      <c r="G248" t="s">
        <v>340</v>
      </c>
      <c r="H248" t="s">
        <v>335</v>
      </c>
      <c r="I248" t="s">
        <v>31</v>
      </c>
      <c r="J248">
        <v>3343</v>
      </c>
      <c r="K248">
        <v>3370</v>
      </c>
      <c r="L248">
        <f t="shared" si="21"/>
        <v>27</v>
      </c>
      <c r="M248">
        <v>27</v>
      </c>
      <c r="N248">
        <f t="shared" si="26"/>
        <v>0</v>
      </c>
      <c r="O248">
        <v>27</v>
      </c>
      <c r="S248">
        <v>3</v>
      </c>
      <c r="T248" s="3">
        <f t="shared" si="22"/>
        <v>30</v>
      </c>
      <c r="U248" s="3" t="str">
        <f t="shared" si="23"/>
        <v>USTED ESTÁ AL DÍA</v>
      </c>
      <c r="V248" s="3" t="s">
        <v>27</v>
      </c>
      <c r="Y248">
        <f t="shared" si="24"/>
        <v>30</v>
      </c>
    </row>
    <row r="249" spans="1:25" ht="15.75" hidden="1" customHeight="1" x14ac:dyDescent="0.35">
      <c r="A249" s="3">
        <v>17143</v>
      </c>
      <c r="B249" s="3" t="s">
        <v>23</v>
      </c>
      <c r="C249" s="2">
        <v>46179</v>
      </c>
      <c r="D249" s="2">
        <v>46174</v>
      </c>
      <c r="E249" s="2">
        <v>46122</v>
      </c>
      <c r="F249" s="2">
        <v>46152</v>
      </c>
      <c r="G249" t="s">
        <v>341</v>
      </c>
      <c r="H249" t="s">
        <v>335</v>
      </c>
      <c r="I249" t="s">
        <v>33</v>
      </c>
      <c r="J249">
        <v>2462</v>
      </c>
      <c r="K249">
        <v>2474</v>
      </c>
      <c r="L249">
        <f t="shared" si="21"/>
        <v>12</v>
      </c>
      <c r="M249">
        <v>12</v>
      </c>
      <c r="N249">
        <f t="shared" si="26"/>
        <v>0</v>
      </c>
      <c r="O249">
        <v>12</v>
      </c>
      <c r="S249">
        <v>3</v>
      </c>
      <c r="T249" s="3">
        <f t="shared" si="22"/>
        <v>15</v>
      </c>
      <c r="U249" s="3" t="str">
        <f t="shared" si="23"/>
        <v>USTED ESTÁ AL DÍA</v>
      </c>
      <c r="V249" s="3" t="s">
        <v>27</v>
      </c>
      <c r="Y249">
        <f t="shared" si="24"/>
        <v>15</v>
      </c>
    </row>
    <row r="250" spans="1:25" ht="15.75" hidden="1" customHeight="1" x14ac:dyDescent="0.35">
      <c r="A250" s="3">
        <v>17144</v>
      </c>
      <c r="B250" s="3" t="s">
        <v>23</v>
      </c>
      <c r="C250" s="2">
        <v>46179</v>
      </c>
      <c r="D250" s="2">
        <v>46174</v>
      </c>
      <c r="E250" s="2">
        <v>46122</v>
      </c>
      <c r="F250" s="2">
        <v>46152</v>
      </c>
      <c r="G250" t="s">
        <v>342</v>
      </c>
      <c r="H250" t="s">
        <v>335</v>
      </c>
      <c r="I250" t="s">
        <v>35</v>
      </c>
      <c r="J250">
        <v>9</v>
      </c>
      <c r="K250">
        <v>27</v>
      </c>
      <c r="L250">
        <f t="shared" si="21"/>
        <v>18</v>
      </c>
      <c r="M250">
        <v>18</v>
      </c>
      <c r="N250">
        <f t="shared" si="26"/>
        <v>0</v>
      </c>
      <c r="O250">
        <v>18</v>
      </c>
      <c r="R250">
        <v>25</v>
      </c>
      <c r="S250">
        <v>3</v>
      </c>
      <c r="T250" s="3">
        <f t="shared" si="22"/>
        <v>46</v>
      </c>
      <c r="U250" s="3" t="str">
        <f t="shared" si="23"/>
        <v>USTED ESTÁ AL DÍA</v>
      </c>
      <c r="V250" s="3" t="s">
        <v>27</v>
      </c>
      <c r="W250">
        <v>30</v>
      </c>
      <c r="Y250">
        <f t="shared" si="24"/>
        <v>76</v>
      </c>
    </row>
    <row r="251" spans="1:25" ht="15.75" hidden="1" customHeight="1" x14ac:dyDescent="0.35">
      <c r="A251" s="3">
        <v>17145</v>
      </c>
      <c r="B251" s="3" t="s">
        <v>23</v>
      </c>
      <c r="C251" s="2">
        <v>46179</v>
      </c>
      <c r="D251" s="2">
        <v>46174</v>
      </c>
      <c r="E251" s="2">
        <v>46122</v>
      </c>
      <c r="F251" s="2">
        <v>46152</v>
      </c>
      <c r="G251" t="s">
        <v>343</v>
      </c>
      <c r="H251" t="s">
        <v>335</v>
      </c>
      <c r="I251" t="s">
        <v>39</v>
      </c>
      <c r="J251">
        <v>98</v>
      </c>
      <c r="K251">
        <v>134</v>
      </c>
      <c r="L251">
        <f t="shared" si="21"/>
        <v>36</v>
      </c>
      <c r="M251">
        <v>36</v>
      </c>
      <c r="N251">
        <f t="shared" si="26"/>
        <v>0</v>
      </c>
      <c r="O251">
        <v>36</v>
      </c>
      <c r="R251">
        <v>25</v>
      </c>
      <c r="S251">
        <v>3</v>
      </c>
      <c r="T251" s="3">
        <f t="shared" si="22"/>
        <v>64</v>
      </c>
      <c r="U251" s="3" t="str">
        <f t="shared" si="23"/>
        <v>USTED ESTÁ AL DÍA</v>
      </c>
      <c r="V251" s="3" t="s">
        <v>27</v>
      </c>
      <c r="W251">
        <v>20</v>
      </c>
      <c r="Y251">
        <f t="shared" si="24"/>
        <v>84</v>
      </c>
    </row>
    <row r="252" spans="1:25" ht="15.75" hidden="1" customHeight="1" x14ac:dyDescent="0.35">
      <c r="A252" s="3">
        <v>17146</v>
      </c>
      <c r="B252" s="3" t="s">
        <v>23</v>
      </c>
      <c r="C252" s="2">
        <v>46179</v>
      </c>
      <c r="D252" s="2">
        <v>46174</v>
      </c>
      <c r="E252" s="2">
        <v>46122</v>
      </c>
      <c r="F252" s="2">
        <v>46152</v>
      </c>
      <c r="G252" t="s">
        <v>344</v>
      </c>
      <c r="H252" t="s">
        <v>335</v>
      </c>
      <c r="I252" t="s">
        <v>41</v>
      </c>
      <c r="J252">
        <v>44</v>
      </c>
      <c r="K252">
        <v>60</v>
      </c>
      <c r="L252">
        <f t="shared" si="21"/>
        <v>16</v>
      </c>
      <c r="M252">
        <v>16</v>
      </c>
      <c r="N252">
        <f t="shared" si="26"/>
        <v>0</v>
      </c>
      <c r="O252">
        <v>16</v>
      </c>
      <c r="R252">
        <v>25</v>
      </c>
      <c r="S252">
        <v>3</v>
      </c>
      <c r="T252" s="3">
        <f t="shared" si="22"/>
        <v>44</v>
      </c>
      <c r="U252" s="3" t="str">
        <f t="shared" si="23"/>
        <v>USTED ESTÁ AL DÍA</v>
      </c>
      <c r="V252" s="3" t="s">
        <v>27</v>
      </c>
      <c r="Y252">
        <f t="shared" si="24"/>
        <v>44</v>
      </c>
    </row>
    <row r="253" spans="1:25" ht="15.75" hidden="1" customHeight="1" x14ac:dyDescent="0.35">
      <c r="A253" s="3">
        <v>17147</v>
      </c>
      <c r="B253" s="3" t="s">
        <v>23</v>
      </c>
      <c r="C253" s="2">
        <v>46179</v>
      </c>
      <c r="D253" s="2">
        <v>46174</v>
      </c>
      <c r="E253" s="2">
        <v>46122</v>
      </c>
      <c r="F253" s="2">
        <v>46152</v>
      </c>
      <c r="G253" t="s">
        <v>345</v>
      </c>
      <c r="H253" t="s">
        <v>335</v>
      </c>
      <c r="I253" t="s">
        <v>43</v>
      </c>
      <c r="J253">
        <v>38</v>
      </c>
      <c r="K253">
        <v>43</v>
      </c>
      <c r="L253">
        <f t="shared" si="21"/>
        <v>5</v>
      </c>
      <c r="M253">
        <v>5</v>
      </c>
      <c r="O253">
        <v>5</v>
      </c>
      <c r="R253">
        <v>25</v>
      </c>
      <c r="S253">
        <v>3</v>
      </c>
      <c r="T253" s="3">
        <f t="shared" si="22"/>
        <v>33</v>
      </c>
      <c r="U253" s="3" t="str">
        <f t="shared" si="23"/>
        <v>USTED ESTÁ AL DÍA</v>
      </c>
      <c r="V253" s="3" t="s">
        <v>27</v>
      </c>
      <c r="X253">
        <v>50</v>
      </c>
      <c r="Y253">
        <f t="shared" si="24"/>
        <v>83</v>
      </c>
    </row>
    <row r="254" spans="1:25" ht="15.75" hidden="1" customHeight="1" x14ac:dyDescent="0.35">
      <c r="A254" s="3">
        <v>17148</v>
      </c>
      <c r="B254" s="3" t="s">
        <v>23</v>
      </c>
      <c r="C254" s="2">
        <v>46179</v>
      </c>
      <c r="D254" s="2">
        <v>46174</v>
      </c>
      <c r="E254" s="2">
        <v>46122</v>
      </c>
      <c r="F254" s="2">
        <v>46152</v>
      </c>
      <c r="G254" t="s">
        <v>346</v>
      </c>
      <c r="H254" t="s">
        <v>335</v>
      </c>
      <c r="I254" t="s">
        <v>45</v>
      </c>
      <c r="J254">
        <v>14</v>
      </c>
      <c r="K254">
        <v>19</v>
      </c>
      <c r="L254">
        <f t="shared" si="21"/>
        <v>5</v>
      </c>
      <c r="M254">
        <v>5</v>
      </c>
      <c r="O254">
        <v>5</v>
      </c>
      <c r="S254">
        <v>3</v>
      </c>
      <c r="T254" s="3">
        <f t="shared" si="22"/>
        <v>8</v>
      </c>
      <c r="U254" s="3" t="str">
        <f t="shared" si="23"/>
        <v>USTED ESTÁ AL DÍA</v>
      </c>
      <c r="V254" s="3" t="s">
        <v>27</v>
      </c>
      <c r="X254">
        <v>50</v>
      </c>
      <c r="Y254">
        <f t="shared" si="24"/>
        <v>58</v>
      </c>
    </row>
    <row r="255" spans="1:25" ht="15.75" hidden="1" customHeight="1" x14ac:dyDescent="0.35">
      <c r="A255" s="3">
        <v>17149</v>
      </c>
      <c r="B255" s="3" t="s">
        <v>23</v>
      </c>
      <c r="C255" s="2">
        <v>46179</v>
      </c>
      <c r="D255" s="2">
        <v>46174</v>
      </c>
      <c r="E255" s="2">
        <v>46122</v>
      </c>
      <c r="F255" s="2">
        <v>46152</v>
      </c>
      <c r="G255" t="s">
        <v>347</v>
      </c>
      <c r="H255" t="s">
        <v>335</v>
      </c>
      <c r="I255" t="s">
        <v>47</v>
      </c>
      <c r="J255">
        <v>14</v>
      </c>
      <c r="K255">
        <v>19</v>
      </c>
      <c r="L255">
        <f t="shared" si="21"/>
        <v>5</v>
      </c>
      <c r="M255">
        <v>5</v>
      </c>
      <c r="O255">
        <v>5</v>
      </c>
      <c r="R255">
        <v>25</v>
      </c>
      <c r="S255">
        <v>3</v>
      </c>
      <c r="T255" s="3">
        <f t="shared" si="22"/>
        <v>33</v>
      </c>
      <c r="U255" s="3" t="str">
        <f t="shared" si="23"/>
        <v>USTED ESTÁ AL DÍA</v>
      </c>
      <c r="V255" s="3" t="s">
        <v>27</v>
      </c>
      <c r="X255">
        <v>50</v>
      </c>
      <c r="Y255">
        <f t="shared" si="24"/>
        <v>83</v>
      </c>
    </row>
    <row r="256" spans="1:25" ht="15.75" hidden="1" customHeight="1" x14ac:dyDescent="0.35">
      <c r="A256" s="3">
        <v>17150</v>
      </c>
      <c r="B256" s="3" t="s">
        <v>23</v>
      </c>
      <c r="C256" s="2">
        <v>46179</v>
      </c>
      <c r="D256" s="2">
        <v>46174</v>
      </c>
      <c r="E256" s="2">
        <v>46122</v>
      </c>
      <c r="F256" s="2">
        <v>46152</v>
      </c>
      <c r="G256" t="s">
        <v>348</v>
      </c>
      <c r="H256" t="s">
        <v>335</v>
      </c>
      <c r="I256" t="s">
        <v>66</v>
      </c>
      <c r="J256">
        <v>31</v>
      </c>
      <c r="K256">
        <v>43</v>
      </c>
      <c r="L256">
        <f t="shared" si="21"/>
        <v>12</v>
      </c>
      <c r="M256">
        <v>12</v>
      </c>
      <c r="N256">
        <f>IF(L256&lt;&gt;M256,1,0)</f>
        <v>0</v>
      </c>
      <c r="O256">
        <v>12</v>
      </c>
      <c r="R256">
        <v>25</v>
      </c>
      <c r="S256">
        <v>3</v>
      </c>
      <c r="T256" s="3">
        <f t="shared" si="22"/>
        <v>40</v>
      </c>
      <c r="U256" s="3" t="str">
        <f t="shared" si="23"/>
        <v>USTED ESTÁ AL DÍA</v>
      </c>
      <c r="V256" s="3" t="s">
        <v>27</v>
      </c>
      <c r="X256">
        <v>50</v>
      </c>
      <c r="Y256">
        <f t="shared" si="24"/>
        <v>90</v>
      </c>
    </row>
    <row r="257" spans="1:25" ht="15.75" hidden="1" customHeight="1" x14ac:dyDescent="0.35">
      <c r="A257" s="3">
        <v>17151</v>
      </c>
      <c r="B257" s="3" t="s">
        <v>23</v>
      </c>
      <c r="C257" s="2">
        <v>46179</v>
      </c>
      <c r="D257" s="2">
        <v>46174</v>
      </c>
      <c r="E257" s="2">
        <v>46122</v>
      </c>
      <c r="F257" s="2">
        <v>46152</v>
      </c>
      <c r="G257" t="s">
        <v>349</v>
      </c>
      <c r="H257" t="s">
        <v>335</v>
      </c>
      <c r="I257" t="s">
        <v>97</v>
      </c>
      <c r="J257">
        <v>36</v>
      </c>
      <c r="K257">
        <v>41</v>
      </c>
      <c r="L257">
        <f t="shared" si="21"/>
        <v>5</v>
      </c>
      <c r="M257">
        <v>5</v>
      </c>
      <c r="O257">
        <v>5</v>
      </c>
      <c r="S257">
        <v>3</v>
      </c>
      <c r="T257" s="3">
        <f t="shared" si="22"/>
        <v>8</v>
      </c>
      <c r="U257" s="3" t="str">
        <f t="shared" si="23"/>
        <v>USTED ESTÁ AL DÍA</v>
      </c>
      <c r="V257" s="3" t="s">
        <v>27</v>
      </c>
      <c r="Y257">
        <f t="shared" si="24"/>
        <v>8</v>
      </c>
    </row>
    <row r="258" spans="1:25" ht="15.75" hidden="1" customHeight="1" x14ac:dyDescent="0.35">
      <c r="A258" s="3">
        <v>17152</v>
      </c>
      <c r="B258" s="3" t="s">
        <v>23</v>
      </c>
      <c r="C258" s="2">
        <v>46179</v>
      </c>
      <c r="D258" s="2">
        <v>46174</v>
      </c>
      <c r="E258" s="2">
        <v>46122</v>
      </c>
      <c r="F258" s="2">
        <v>46152</v>
      </c>
      <c r="G258" t="s">
        <v>350</v>
      </c>
      <c r="H258" t="s">
        <v>335</v>
      </c>
      <c r="I258" t="s">
        <v>101</v>
      </c>
      <c r="J258">
        <v>1194</v>
      </c>
      <c r="K258">
        <v>1205</v>
      </c>
      <c r="L258">
        <f t="shared" ref="L258:L321" si="27">K258-J258</f>
        <v>11</v>
      </c>
      <c r="M258">
        <v>11</v>
      </c>
      <c r="N258">
        <f t="shared" ref="N258:N263" si="28">IF(L258&lt;&gt;M258,1,0)</f>
        <v>0</v>
      </c>
      <c r="O258">
        <v>11</v>
      </c>
      <c r="S258">
        <v>3</v>
      </c>
      <c r="T258" s="3">
        <f t="shared" ref="T258:T321" si="29">SUM(O258:S258)</f>
        <v>14</v>
      </c>
      <c r="U258" s="3" t="str">
        <f t="shared" ref="U258:U321" si="30">IF(P258&lt;8,"USTED ESTÁ AL DÍA","USTED NO ESTÁ AL DÍA")</f>
        <v>USTED ESTÁ AL DÍA</v>
      </c>
      <c r="V258" s="3" t="s">
        <v>27</v>
      </c>
      <c r="Y258">
        <f t="shared" ref="Y258:Y321" si="31">T258+W258+X258</f>
        <v>14</v>
      </c>
    </row>
    <row r="259" spans="1:25" ht="15.75" hidden="1" customHeight="1" x14ac:dyDescent="0.35">
      <c r="A259" s="3">
        <v>17153</v>
      </c>
      <c r="B259" s="3" t="s">
        <v>23</v>
      </c>
      <c r="C259" s="2">
        <v>46179</v>
      </c>
      <c r="D259" s="2">
        <v>46174</v>
      </c>
      <c r="E259" s="2">
        <v>46122</v>
      </c>
      <c r="F259" s="2">
        <v>46152</v>
      </c>
      <c r="G259" t="s">
        <v>351</v>
      </c>
      <c r="H259" t="s">
        <v>335</v>
      </c>
      <c r="I259" t="s">
        <v>93</v>
      </c>
      <c r="J259">
        <v>48</v>
      </c>
      <c r="K259">
        <v>66</v>
      </c>
      <c r="L259">
        <f t="shared" si="27"/>
        <v>18</v>
      </c>
      <c r="M259">
        <v>18</v>
      </c>
      <c r="N259">
        <f t="shared" si="28"/>
        <v>0</v>
      </c>
      <c r="O259">
        <v>18</v>
      </c>
      <c r="R259">
        <v>25</v>
      </c>
      <c r="S259">
        <v>3</v>
      </c>
      <c r="T259" s="3">
        <f t="shared" si="29"/>
        <v>46</v>
      </c>
      <c r="U259" s="3" t="str">
        <f t="shared" si="30"/>
        <v>USTED ESTÁ AL DÍA</v>
      </c>
      <c r="V259" s="3" t="s">
        <v>27</v>
      </c>
      <c r="W259">
        <v>50</v>
      </c>
      <c r="X259">
        <v>75</v>
      </c>
      <c r="Y259">
        <f t="shared" si="31"/>
        <v>171</v>
      </c>
    </row>
    <row r="260" spans="1:25" ht="15.75" hidden="1" customHeight="1" x14ac:dyDescent="0.35">
      <c r="A260" s="3">
        <v>17154</v>
      </c>
      <c r="B260" s="3" t="s">
        <v>23</v>
      </c>
      <c r="C260" s="2">
        <v>46179</v>
      </c>
      <c r="D260" s="2">
        <v>46174</v>
      </c>
      <c r="E260" s="2">
        <v>46122</v>
      </c>
      <c r="F260" s="2">
        <v>46152</v>
      </c>
      <c r="G260" t="s">
        <v>352</v>
      </c>
      <c r="H260" t="s">
        <v>335</v>
      </c>
      <c r="I260" t="s">
        <v>95</v>
      </c>
      <c r="J260">
        <v>24</v>
      </c>
      <c r="K260">
        <v>32</v>
      </c>
      <c r="L260">
        <f t="shared" si="27"/>
        <v>8</v>
      </c>
      <c r="M260">
        <v>8</v>
      </c>
      <c r="N260">
        <f t="shared" si="28"/>
        <v>0</v>
      </c>
      <c r="O260">
        <v>8</v>
      </c>
      <c r="R260">
        <v>25</v>
      </c>
      <c r="S260">
        <v>3</v>
      </c>
      <c r="T260" s="3">
        <f t="shared" si="29"/>
        <v>36</v>
      </c>
      <c r="U260" s="3" t="str">
        <f t="shared" si="30"/>
        <v>USTED ESTÁ AL DÍA</v>
      </c>
      <c r="V260" s="3" t="s">
        <v>27</v>
      </c>
      <c r="W260">
        <v>30</v>
      </c>
      <c r="Y260">
        <f t="shared" si="31"/>
        <v>66</v>
      </c>
    </row>
    <row r="261" spans="1:25" ht="15.75" hidden="1" customHeight="1" x14ac:dyDescent="0.35">
      <c r="A261" s="3">
        <v>17155</v>
      </c>
      <c r="B261" s="3" t="s">
        <v>23</v>
      </c>
      <c r="C261" s="2">
        <v>46179</v>
      </c>
      <c r="D261" s="2">
        <v>46174</v>
      </c>
      <c r="E261" s="2">
        <v>46122</v>
      </c>
      <c r="F261" s="2">
        <v>46152</v>
      </c>
      <c r="G261" t="s">
        <v>353</v>
      </c>
      <c r="H261" t="s">
        <v>335</v>
      </c>
      <c r="I261" t="s">
        <v>91</v>
      </c>
      <c r="J261">
        <v>13</v>
      </c>
      <c r="K261">
        <v>19</v>
      </c>
      <c r="L261">
        <f t="shared" si="27"/>
        <v>6</v>
      </c>
      <c r="M261">
        <v>6</v>
      </c>
      <c r="N261">
        <f t="shared" si="28"/>
        <v>0</v>
      </c>
      <c r="O261">
        <v>6</v>
      </c>
      <c r="R261">
        <v>25</v>
      </c>
      <c r="S261">
        <v>3</v>
      </c>
      <c r="T261" s="3">
        <f t="shared" si="29"/>
        <v>34</v>
      </c>
      <c r="U261" s="3" t="str">
        <f t="shared" si="30"/>
        <v>USTED ESTÁ AL DÍA</v>
      </c>
      <c r="V261" s="3" t="s">
        <v>27</v>
      </c>
      <c r="Y261">
        <f t="shared" si="31"/>
        <v>34</v>
      </c>
    </row>
    <row r="262" spans="1:25" ht="15.75" hidden="1" customHeight="1" x14ac:dyDescent="0.35">
      <c r="A262" s="3">
        <v>17156</v>
      </c>
      <c r="B262" s="3" t="s">
        <v>23</v>
      </c>
      <c r="C262" s="2">
        <v>46179</v>
      </c>
      <c r="D262" s="2">
        <v>46174</v>
      </c>
      <c r="E262" s="2">
        <v>46122</v>
      </c>
      <c r="F262" s="2">
        <v>46152</v>
      </c>
      <c r="G262" t="s">
        <v>354</v>
      </c>
      <c r="H262" t="s">
        <v>335</v>
      </c>
      <c r="I262" t="s">
        <v>124</v>
      </c>
      <c r="J262">
        <v>39</v>
      </c>
      <c r="K262">
        <v>55</v>
      </c>
      <c r="L262">
        <f t="shared" si="27"/>
        <v>16</v>
      </c>
      <c r="M262">
        <v>16</v>
      </c>
      <c r="N262">
        <f t="shared" si="28"/>
        <v>0</v>
      </c>
      <c r="O262">
        <v>16</v>
      </c>
      <c r="R262">
        <v>25</v>
      </c>
      <c r="S262">
        <v>3</v>
      </c>
      <c r="T262" s="3">
        <f t="shared" si="29"/>
        <v>44</v>
      </c>
      <c r="U262" s="3" t="str">
        <f t="shared" si="30"/>
        <v>USTED ESTÁ AL DÍA</v>
      </c>
      <c r="V262" s="3" t="s">
        <v>27</v>
      </c>
      <c r="X262">
        <v>50</v>
      </c>
      <c r="Y262">
        <f t="shared" si="31"/>
        <v>94</v>
      </c>
    </row>
    <row r="263" spans="1:25" ht="15.75" hidden="1" customHeight="1" x14ac:dyDescent="0.35">
      <c r="A263" s="3">
        <v>17157</v>
      </c>
      <c r="B263" s="3" t="s">
        <v>23</v>
      </c>
      <c r="C263" s="2">
        <v>46179</v>
      </c>
      <c r="D263" s="2">
        <v>46174</v>
      </c>
      <c r="E263" s="2">
        <v>46122</v>
      </c>
      <c r="F263" s="2">
        <v>46152</v>
      </c>
      <c r="G263" t="s">
        <v>355</v>
      </c>
      <c r="H263" t="s">
        <v>335</v>
      </c>
      <c r="I263" t="s">
        <v>144</v>
      </c>
      <c r="J263">
        <v>2566</v>
      </c>
      <c r="K263">
        <v>2577</v>
      </c>
      <c r="L263">
        <f t="shared" si="27"/>
        <v>11</v>
      </c>
      <c r="M263">
        <v>11</v>
      </c>
      <c r="N263">
        <f t="shared" si="28"/>
        <v>0</v>
      </c>
      <c r="O263">
        <v>11</v>
      </c>
      <c r="S263">
        <v>3</v>
      </c>
      <c r="T263" s="3">
        <f t="shared" si="29"/>
        <v>14</v>
      </c>
      <c r="U263" s="3" t="str">
        <f t="shared" si="30"/>
        <v>USTED ESTÁ AL DÍA</v>
      </c>
      <c r="V263" s="3" t="s">
        <v>27</v>
      </c>
      <c r="X263">
        <v>50</v>
      </c>
      <c r="Y263">
        <f t="shared" si="31"/>
        <v>64</v>
      </c>
    </row>
    <row r="264" spans="1:25" ht="15.75" hidden="1" customHeight="1" x14ac:dyDescent="0.35">
      <c r="A264" s="3">
        <v>17158</v>
      </c>
      <c r="B264" s="3" t="s">
        <v>23</v>
      </c>
      <c r="C264" s="2">
        <v>46179</v>
      </c>
      <c r="D264" s="2">
        <v>46174</v>
      </c>
      <c r="E264" s="2">
        <v>46122</v>
      </c>
      <c r="F264" s="2">
        <v>46152</v>
      </c>
      <c r="G264" t="s">
        <v>356</v>
      </c>
      <c r="H264" t="s">
        <v>335</v>
      </c>
      <c r="I264" t="s">
        <v>37</v>
      </c>
      <c r="L264">
        <f t="shared" si="27"/>
        <v>0</v>
      </c>
      <c r="S264">
        <v>0</v>
      </c>
      <c r="T264" s="3">
        <f t="shared" si="29"/>
        <v>0</v>
      </c>
      <c r="U264" s="3" t="str">
        <f t="shared" si="30"/>
        <v>USTED ESTÁ AL DÍA</v>
      </c>
      <c r="V264" s="3" t="s">
        <v>27</v>
      </c>
      <c r="W264">
        <v>50</v>
      </c>
      <c r="X264">
        <v>50</v>
      </c>
      <c r="Y264">
        <f t="shared" si="31"/>
        <v>100</v>
      </c>
    </row>
    <row r="265" spans="1:25" ht="15.75" hidden="1" customHeight="1" x14ac:dyDescent="0.35">
      <c r="A265" s="3">
        <v>17159</v>
      </c>
      <c r="B265" s="3" t="s">
        <v>23</v>
      </c>
      <c r="C265" s="2">
        <v>46179</v>
      </c>
      <c r="D265" s="2">
        <v>46174</v>
      </c>
      <c r="E265" s="2">
        <v>46122</v>
      </c>
      <c r="F265" s="2">
        <v>46152</v>
      </c>
      <c r="G265" t="s">
        <v>324</v>
      </c>
      <c r="H265" t="s">
        <v>357</v>
      </c>
      <c r="I265" t="s">
        <v>26</v>
      </c>
      <c r="J265">
        <v>72</v>
      </c>
      <c r="K265">
        <v>77</v>
      </c>
      <c r="L265">
        <f t="shared" si="27"/>
        <v>5</v>
      </c>
      <c r="M265">
        <v>5</v>
      </c>
      <c r="O265">
        <v>5</v>
      </c>
      <c r="S265">
        <v>3</v>
      </c>
      <c r="T265" s="3">
        <f t="shared" si="29"/>
        <v>8</v>
      </c>
      <c r="U265" s="3" t="str">
        <f t="shared" si="30"/>
        <v>USTED ESTÁ AL DÍA</v>
      </c>
      <c r="V265" s="3" t="s">
        <v>27</v>
      </c>
      <c r="Y265">
        <f t="shared" si="31"/>
        <v>8</v>
      </c>
    </row>
    <row r="266" spans="1:25" ht="15.75" hidden="1" customHeight="1" x14ac:dyDescent="0.35">
      <c r="A266" s="3">
        <v>17160</v>
      </c>
      <c r="B266" s="3" t="s">
        <v>23</v>
      </c>
      <c r="C266" s="2">
        <v>46179</v>
      </c>
      <c r="D266" s="2">
        <v>46174</v>
      </c>
      <c r="E266" s="2">
        <v>46122</v>
      </c>
      <c r="F266" s="2">
        <v>46152</v>
      </c>
      <c r="G266" t="s">
        <v>358</v>
      </c>
      <c r="H266" t="s">
        <v>357</v>
      </c>
      <c r="I266" t="s">
        <v>31</v>
      </c>
      <c r="J266">
        <v>360</v>
      </c>
      <c r="K266">
        <v>369</v>
      </c>
      <c r="L266">
        <f t="shared" si="27"/>
        <v>9</v>
      </c>
      <c r="M266">
        <v>9</v>
      </c>
      <c r="N266">
        <f>IF(L266&lt;&gt;M266,1,0)</f>
        <v>0</v>
      </c>
      <c r="O266">
        <v>9</v>
      </c>
      <c r="S266">
        <v>3</v>
      </c>
      <c r="T266" s="3">
        <f t="shared" si="29"/>
        <v>12</v>
      </c>
      <c r="U266" s="3" t="str">
        <f t="shared" si="30"/>
        <v>USTED ESTÁ AL DÍA</v>
      </c>
      <c r="V266" s="3" t="s">
        <v>27</v>
      </c>
      <c r="X266">
        <v>50</v>
      </c>
      <c r="Y266">
        <f t="shared" si="31"/>
        <v>62</v>
      </c>
    </row>
    <row r="267" spans="1:25" ht="15.75" hidden="1" customHeight="1" x14ac:dyDescent="0.35">
      <c r="A267" s="3">
        <v>17161</v>
      </c>
      <c r="B267" s="3" t="s">
        <v>23</v>
      </c>
      <c r="C267" s="2">
        <v>46179</v>
      </c>
      <c r="D267" s="2">
        <v>46174</v>
      </c>
      <c r="E267" s="2">
        <v>46122</v>
      </c>
      <c r="F267" s="2">
        <v>46152</v>
      </c>
      <c r="G267" t="s">
        <v>359</v>
      </c>
      <c r="H267" t="s">
        <v>357</v>
      </c>
      <c r="I267" t="s">
        <v>35</v>
      </c>
      <c r="J267">
        <v>0</v>
      </c>
      <c r="K267">
        <v>0</v>
      </c>
      <c r="L267">
        <f t="shared" si="27"/>
        <v>0</v>
      </c>
      <c r="M267">
        <v>5</v>
      </c>
      <c r="O267">
        <v>5</v>
      </c>
      <c r="S267">
        <v>3</v>
      </c>
      <c r="T267" s="3">
        <f t="shared" si="29"/>
        <v>8</v>
      </c>
      <c r="U267" s="3" t="str">
        <f t="shared" si="30"/>
        <v>USTED ESTÁ AL DÍA</v>
      </c>
      <c r="V267" s="3" t="s">
        <v>27</v>
      </c>
      <c r="Y267">
        <f t="shared" si="31"/>
        <v>8</v>
      </c>
    </row>
    <row r="268" spans="1:25" ht="15.75" hidden="1" customHeight="1" x14ac:dyDescent="0.35">
      <c r="A268" s="3">
        <v>17162</v>
      </c>
      <c r="B268" s="3" t="s">
        <v>23</v>
      </c>
      <c r="C268" s="2">
        <v>46179</v>
      </c>
      <c r="D268" s="2">
        <v>46174</v>
      </c>
      <c r="E268" s="2">
        <v>46122</v>
      </c>
      <c r="F268" s="2">
        <v>46152</v>
      </c>
      <c r="G268" t="s">
        <v>360</v>
      </c>
      <c r="H268" t="s">
        <v>357</v>
      </c>
      <c r="I268" t="s">
        <v>39</v>
      </c>
      <c r="J268">
        <v>298</v>
      </c>
      <c r="K268">
        <v>305</v>
      </c>
      <c r="L268">
        <f t="shared" si="27"/>
        <v>7</v>
      </c>
      <c r="M268">
        <v>7</v>
      </c>
      <c r="N268">
        <f>IF(L268&lt;&gt;M268,1,0)</f>
        <v>0</v>
      </c>
      <c r="O268">
        <v>7</v>
      </c>
      <c r="S268">
        <v>3</v>
      </c>
      <c r="T268" s="3">
        <f t="shared" si="29"/>
        <v>10</v>
      </c>
      <c r="U268" s="3" t="str">
        <f t="shared" si="30"/>
        <v>USTED ESTÁ AL DÍA</v>
      </c>
      <c r="V268" s="3" t="s">
        <v>27</v>
      </c>
      <c r="W268">
        <v>20</v>
      </c>
      <c r="X268">
        <v>50</v>
      </c>
      <c r="Y268">
        <f t="shared" si="31"/>
        <v>80</v>
      </c>
    </row>
    <row r="269" spans="1:25" ht="15.75" hidden="1" customHeight="1" x14ac:dyDescent="0.35">
      <c r="A269" s="3">
        <v>17163</v>
      </c>
      <c r="B269" s="3" t="s">
        <v>23</v>
      </c>
      <c r="C269" s="2">
        <v>46179</v>
      </c>
      <c r="D269" s="2">
        <v>46174</v>
      </c>
      <c r="E269" s="2">
        <v>46122</v>
      </c>
      <c r="F269" s="2">
        <v>46152</v>
      </c>
      <c r="G269" t="s">
        <v>361</v>
      </c>
      <c r="H269" t="s">
        <v>357</v>
      </c>
      <c r="I269" t="s">
        <v>41</v>
      </c>
      <c r="J269">
        <v>477</v>
      </c>
      <c r="K269">
        <v>486</v>
      </c>
      <c r="L269">
        <f t="shared" si="27"/>
        <v>9</v>
      </c>
      <c r="M269">
        <v>9</v>
      </c>
      <c r="N269">
        <f>IF(L269&lt;&gt;M269,1,0)</f>
        <v>0</v>
      </c>
      <c r="O269">
        <v>9</v>
      </c>
      <c r="S269">
        <v>3</v>
      </c>
      <c r="T269" s="3">
        <f t="shared" si="29"/>
        <v>12</v>
      </c>
      <c r="U269" s="3" t="str">
        <f t="shared" si="30"/>
        <v>USTED ESTÁ AL DÍA</v>
      </c>
      <c r="V269" s="3" t="s">
        <v>27</v>
      </c>
      <c r="W269">
        <v>20</v>
      </c>
      <c r="Y269">
        <f t="shared" si="31"/>
        <v>32</v>
      </c>
    </row>
    <row r="270" spans="1:25" ht="15.75" hidden="1" customHeight="1" x14ac:dyDescent="0.35">
      <c r="A270" s="3">
        <v>17164</v>
      </c>
      <c r="B270" s="3" t="s">
        <v>23</v>
      </c>
      <c r="C270" s="2">
        <v>46179</v>
      </c>
      <c r="D270" s="2">
        <v>46174</v>
      </c>
      <c r="E270" s="2">
        <v>46122</v>
      </c>
      <c r="F270" s="2">
        <v>46152</v>
      </c>
      <c r="G270" t="s">
        <v>362</v>
      </c>
      <c r="H270" t="s">
        <v>357</v>
      </c>
      <c r="I270" t="s">
        <v>43</v>
      </c>
      <c r="J270">
        <v>132</v>
      </c>
      <c r="K270">
        <v>132</v>
      </c>
      <c r="L270">
        <f t="shared" si="27"/>
        <v>0</v>
      </c>
      <c r="M270">
        <v>5</v>
      </c>
      <c r="O270">
        <v>5</v>
      </c>
      <c r="S270">
        <v>3</v>
      </c>
      <c r="T270" s="3">
        <f t="shared" si="29"/>
        <v>8</v>
      </c>
      <c r="U270" s="3" t="str">
        <f t="shared" si="30"/>
        <v>USTED ESTÁ AL DÍA</v>
      </c>
      <c r="V270" s="3" t="s">
        <v>27</v>
      </c>
      <c r="W270">
        <v>50</v>
      </c>
      <c r="Y270">
        <f t="shared" si="31"/>
        <v>58</v>
      </c>
    </row>
    <row r="271" spans="1:25" ht="15.75" hidden="1" customHeight="1" x14ac:dyDescent="0.35">
      <c r="A271" s="3">
        <v>17165</v>
      </c>
      <c r="B271" s="3" t="s">
        <v>23</v>
      </c>
      <c r="C271" s="2">
        <v>46179</v>
      </c>
      <c r="D271" s="2">
        <v>46174</v>
      </c>
      <c r="E271" s="2">
        <v>46122</v>
      </c>
      <c r="F271" s="2">
        <v>46152</v>
      </c>
      <c r="G271" t="s">
        <v>363</v>
      </c>
      <c r="H271" t="s">
        <v>357</v>
      </c>
      <c r="I271" t="s">
        <v>47</v>
      </c>
      <c r="J271">
        <v>390</v>
      </c>
      <c r="K271">
        <v>392</v>
      </c>
      <c r="L271">
        <f t="shared" si="27"/>
        <v>2</v>
      </c>
      <c r="M271">
        <v>5</v>
      </c>
      <c r="O271">
        <v>5</v>
      </c>
      <c r="Q271">
        <v>20</v>
      </c>
      <c r="S271">
        <v>3</v>
      </c>
      <c r="T271" s="3">
        <f t="shared" si="29"/>
        <v>28</v>
      </c>
      <c r="U271" s="3" t="str">
        <f t="shared" si="30"/>
        <v>USTED ESTÁ AL DÍA</v>
      </c>
      <c r="V271" s="3" t="s">
        <v>27</v>
      </c>
      <c r="W271">
        <v>20</v>
      </c>
      <c r="X271">
        <v>5</v>
      </c>
      <c r="Y271">
        <f t="shared" si="31"/>
        <v>53</v>
      </c>
    </row>
    <row r="272" spans="1:25" ht="15.75" hidden="1" customHeight="1" x14ac:dyDescent="0.35">
      <c r="A272" s="3">
        <v>17166</v>
      </c>
      <c r="B272" s="3" t="s">
        <v>23</v>
      </c>
      <c r="C272" s="2">
        <v>46179</v>
      </c>
      <c r="D272" s="2">
        <v>46174</v>
      </c>
      <c r="E272" s="2">
        <v>46122</v>
      </c>
      <c r="F272" s="2">
        <v>46152</v>
      </c>
      <c r="G272" t="s">
        <v>364</v>
      </c>
      <c r="H272" t="s">
        <v>357</v>
      </c>
      <c r="I272" t="s">
        <v>37</v>
      </c>
      <c r="J272">
        <v>632</v>
      </c>
      <c r="K272">
        <v>637</v>
      </c>
      <c r="L272">
        <f t="shared" si="27"/>
        <v>5</v>
      </c>
      <c r="M272">
        <v>5</v>
      </c>
      <c r="O272">
        <v>5</v>
      </c>
      <c r="S272">
        <v>3</v>
      </c>
      <c r="T272" s="3">
        <f t="shared" si="29"/>
        <v>8</v>
      </c>
      <c r="U272" s="3" t="str">
        <f t="shared" si="30"/>
        <v>USTED ESTÁ AL DÍA</v>
      </c>
      <c r="V272" s="3" t="s">
        <v>27</v>
      </c>
      <c r="Y272">
        <f t="shared" si="31"/>
        <v>8</v>
      </c>
    </row>
    <row r="273" spans="1:25" ht="15.75" hidden="1" customHeight="1" x14ac:dyDescent="0.35">
      <c r="A273" s="3">
        <v>17167</v>
      </c>
      <c r="B273" s="3" t="s">
        <v>23</v>
      </c>
      <c r="C273" s="2">
        <v>46179</v>
      </c>
      <c r="D273" s="2">
        <v>46174</v>
      </c>
      <c r="E273" s="2">
        <v>46122</v>
      </c>
      <c r="F273" s="2">
        <v>46152</v>
      </c>
      <c r="G273" t="s">
        <v>365</v>
      </c>
      <c r="H273" t="s">
        <v>357</v>
      </c>
      <c r="I273" t="s">
        <v>66</v>
      </c>
      <c r="J273">
        <v>719</v>
      </c>
      <c r="K273">
        <v>727</v>
      </c>
      <c r="L273">
        <f t="shared" si="27"/>
        <v>8</v>
      </c>
      <c r="M273">
        <v>8</v>
      </c>
      <c r="N273">
        <f>IF(L273&lt;&gt;M273,1,0)</f>
        <v>0</v>
      </c>
      <c r="O273">
        <v>8</v>
      </c>
      <c r="S273">
        <v>3</v>
      </c>
      <c r="T273" s="3">
        <f t="shared" si="29"/>
        <v>11</v>
      </c>
      <c r="U273" s="3" t="str">
        <f t="shared" si="30"/>
        <v>USTED ESTÁ AL DÍA</v>
      </c>
      <c r="V273" s="3" t="s">
        <v>27</v>
      </c>
      <c r="Y273">
        <f t="shared" si="31"/>
        <v>11</v>
      </c>
    </row>
    <row r="274" spans="1:25" ht="15.75" hidden="1" customHeight="1" x14ac:dyDescent="0.35">
      <c r="A274" s="3">
        <v>17168</v>
      </c>
      <c r="B274" s="3" t="s">
        <v>23</v>
      </c>
      <c r="C274" s="2">
        <v>46179</v>
      </c>
      <c r="D274" s="2">
        <v>46174</v>
      </c>
      <c r="E274" s="2">
        <v>46122</v>
      </c>
      <c r="F274" s="2">
        <v>46152</v>
      </c>
      <c r="G274" t="s">
        <v>366</v>
      </c>
      <c r="H274" t="s">
        <v>357</v>
      </c>
      <c r="I274" t="s">
        <v>68</v>
      </c>
      <c r="J274">
        <v>202</v>
      </c>
      <c r="K274">
        <v>211</v>
      </c>
      <c r="L274">
        <f t="shared" si="27"/>
        <v>9</v>
      </c>
      <c r="M274">
        <v>9</v>
      </c>
      <c r="N274">
        <f>IF(L274&lt;&gt;M274,1,0)</f>
        <v>0</v>
      </c>
      <c r="O274">
        <v>9</v>
      </c>
      <c r="S274">
        <v>3</v>
      </c>
      <c r="T274" s="3">
        <f t="shared" si="29"/>
        <v>12</v>
      </c>
      <c r="U274" s="3" t="str">
        <f t="shared" si="30"/>
        <v>USTED ESTÁ AL DÍA</v>
      </c>
      <c r="V274" s="3" t="s">
        <v>27</v>
      </c>
      <c r="W274">
        <v>50</v>
      </c>
      <c r="Y274">
        <f t="shared" si="31"/>
        <v>62</v>
      </c>
    </row>
    <row r="275" spans="1:25" ht="15.75" hidden="1" customHeight="1" x14ac:dyDescent="0.35">
      <c r="A275" s="3">
        <v>17169</v>
      </c>
      <c r="B275" s="3" t="s">
        <v>23</v>
      </c>
      <c r="C275" s="2">
        <v>46179</v>
      </c>
      <c r="D275" s="2">
        <v>46174</v>
      </c>
      <c r="E275" s="2">
        <v>46122</v>
      </c>
      <c r="F275" s="2">
        <v>46152</v>
      </c>
      <c r="G275" t="s">
        <v>367</v>
      </c>
      <c r="H275" t="s">
        <v>357</v>
      </c>
      <c r="I275" t="s">
        <v>101</v>
      </c>
      <c r="J275">
        <v>667</v>
      </c>
      <c r="K275">
        <v>676</v>
      </c>
      <c r="L275">
        <f t="shared" si="27"/>
        <v>9</v>
      </c>
      <c r="M275">
        <v>9</v>
      </c>
      <c r="N275">
        <f>IF(L275&lt;&gt;M275,1,0)</f>
        <v>0</v>
      </c>
      <c r="O275">
        <v>9</v>
      </c>
      <c r="S275">
        <v>3</v>
      </c>
      <c r="T275" s="3">
        <f t="shared" si="29"/>
        <v>12</v>
      </c>
      <c r="U275" s="3" t="str">
        <f t="shared" si="30"/>
        <v>USTED ESTÁ AL DÍA</v>
      </c>
      <c r="V275" s="3" t="s">
        <v>27</v>
      </c>
      <c r="W275">
        <v>20</v>
      </c>
      <c r="Y275">
        <f t="shared" si="31"/>
        <v>32</v>
      </c>
    </row>
    <row r="276" spans="1:25" ht="15.75" hidden="1" customHeight="1" x14ac:dyDescent="0.35">
      <c r="A276" s="3">
        <v>17170</v>
      </c>
      <c r="B276" s="3" t="s">
        <v>23</v>
      </c>
      <c r="C276" s="2">
        <v>46179</v>
      </c>
      <c r="D276" s="2">
        <v>46174</v>
      </c>
      <c r="E276" s="2">
        <v>46122</v>
      </c>
      <c r="F276" s="2">
        <v>46152</v>
      </c>
      <c r="G276" t="s">
        <v>368</v>
      </c>
      <c r="H276" t="s">
        <v>357</v>
      </c>
      <c r="I276" t="s">
        <v>79</v>
      </c>
      <c r="J276">
        <v>23</v>
      </c>
      <c r="K276">
        <v>24</v>
      </c>
      <c r="L276">
        <f t="shared" si="27"/>
        <v>1</v>
      </c>
      <c r="M276">
        <v>5</v>
      </c>
      <c r="O276">
        <v>5</v>
      </c>
      <c r="S276">
        <v>3</v>
      </c>
      <c r="T276" s="3">
        <f t="shared" si="29"/>
        <v>8</v>
      </c>
      <c r="U276" s="3" t="str">
        <f t="shared" si="30"/>
        <v>USTED ESTÁ AL DÍA</v>
      </c>
      <c r="V276" s="3" t="s">
        <v>27</v>
      </c>
      <c r="W276">
        <v>50</v>
      </c>
      <c r="X276">
        <v>75</v>
      </c>
      <c r="Y276">
        <f t="shared" si="31"/>
        <v>133</v>
      </c>
    </row>
    <row r="277" spans="1:25" ht="15.75" hidden="1" customHeight="1" x14ac:dyDescent="0.35">
      <c r="A277" s="3">
        <v>17171</v>
      </c>
      <c r="B277" s="3" t="s">
        <v>23</v>
      </c>
      <c r="C277" s="2">
        <v>46179</v>
      </c>
      <c r="D277" s="2">
        <v>46174</v>
      </c>
      <c r="E277" s="2">
        <v>46122</v>
      </c>
      <c r="F277" s="2">
        <v>46152</v>
      </c>
      <c r="G277" t="s">
        <v>369</v>
      </c>
      <c r="H277" t="s">
        <v>357</v>
      </c>
      <c r="I277" t="s">
        <v>133</v>
      </c>
      <c r="J277">
        <v>207</v>
      </c>
      <c r="K277">
        <v>213</v>
      </c>
      <c r="L277">
        <f t="shared" si="27"/>
        <v>6</v>
      </c>
      <c r="M277">
        <v>6</v>
      </c>
      <c r="N277">
        <f>IF(L277&lt;&gt;M277,1,0)</f>
        <v>0</v>
      </c>
      <c r="O277">
        <v>6</v>
      </c>
      <c r="S277">
        <v>3</v>
      </c>
      <c r="T277" s="3">
        <f t="shared" si="29"/>
        <v>9</v>
      </c>
      <c r="U277" s="3" t="str">
        <f t="shared" si="30"/>
        <v>USTED ESTÁ AL DÍA</v>
      </c>
      <c r="V277" s="3" t="s">
        <v>27</v>
      </c>
      <c r="W277">
        <v>20</v>
      </c>
      <c r="Y277">
        <f t="shared" si="31"/>
        <v>29</v>
      </c>
    </row>
    <row r="278" spans="1:25" ht="15.75" hidden="1" customHeight="1" x14ac:dyDescent="0.35">
      <c r="A278" s="3">
        <v>17172</v>
      </c>
      <c r="B278" s="3" t="s">
        <v>23</v>
      </c>
      <c r="C278" s="2">
        <v>46179</v>
      </c>
      <c r="D278" s="2">
        <v>46174</v>
      </c>
      <c r="E278" s="2">
        <v>46122</v>
      </c>
      <c r="F278" s="2">
        <v>46152</v>
      </c>
      <c r="G278" t="s">
        <v>370</v>
      </c>
      <c r="H278" t="s">
        <v>357</v>
      </c>
      <c r="I278" t="s">
        <v>167</v>
      </c>
      <c r="J278">
        <v>491</v>
      </c>
      <c r="K278">
        <v>497</v>
      </c>
      <c r="L278">
        <f t="shared" si="27"/>
        <v>6</v>
      </c>
      <c r="M278">
        <v>6</v>
      </c>
      <c r="N278">
        <f>IF(L278&lt;&gt;M278,1,0)</f>
        <v>0</v>
      </c>
      <c r="O278">
        <v>6</v>
      </c>
      <c r="S278">
        <v>3</v>
      </c>
      <c r="T278" s="3">
        <f t="shared" si="29"/>
        <v>9</v>
      </c>
      <c r="U278" s="3" t="str">
        <f t="shared" si="30"/>
        <v>USTED ESTÁ AL DÍA</v>
      </c>
      <c r="V278" s="3" t="s">
        <v>27</v>
      </c>
      <c r="W278">
        <v>30</v>
      </c>
      <c r="Y278">
        <f t="shared" si="31"/>
        <v>39</v>
      </c>
    </row>
    <row r="279" spans="1:25" ht="15.75" hidden="1" customHeight="1" x14ac:dyDescent="0.35">
      <c r="A279" s="3">
        <v>17173</v>
      </c>
      <c r="B279" s="3" t="s">
        <v>23</v>
      </c>
      <c r="C279" s="2">
        <v>46179</v>
      </c>
      <c r="D279" s="2">
        <v>46174</v>
      </c>
      <c r="E279" s="2">
        <v>46122</v>
      </c>
      <c r="F279" s="2">
        <v>46152</v>
      </c>
      <c r="G279" t="s">
        <v>371</v>
      </c>
      <c r="H279" t="s">
        <v>357</v>
      </c>
      <c r="I279" t="s">
        <v>45</v>
      </c>
      <c r="L279">
        <f t="shared" si="27"/>
        <v>0</v>
      </c>
      <c r="S279">
        <v>0</v>
      </c>
      <c r="T279" s="3">
        <f t="shared" si="29"/>
        <v>0</v>
      </c>
      <c r="U279" s="3" t="str">
        <f t="shared" si="30"/>
        <v>USTED ESTÁ AL DÍA</v>
      </c>
      <c r="V279" s="3" t="s">
        <v>27</v>
      </c>
      <c r="W279">
        <v>50</v>
      </c>
      <c r="Y279">
        <f t="shared" si="31"/>
        <v>50</v>
      </c>
    </row>
    <row r="280" spans="1:25" ht="15.75" hidden="1" customHeight="1" x14ac:dyDescent="0.35">
      <c r="A280" s="3">
        <v>17174</v>
      </c>
      <c r="B280" s="3" t="s">
        <v>23</v>
      </c>
      <c r="C280" s="2">
        <v>46179</v>
      </c>
      <c r="D280" s="2">
        <v>46174</v>
      </c>
      <c r="E280" s="2">
        <v>46122</v>
      </c>
      <c r="F280" s="2">
        <v>46152</v>
      </c>
      <c r="G280" t="s">
        <v>372</v>
      </c>
      <c r="H280" t="s">
        <v>357</v>
      </c>
      <c r="I280" t="s">
        <v>29</v>
      </c>
      <c r="L280">
        <f t="shared" si="27"/>
        <v>0</v>
      </c>
      <c r="S280">
        <v>0</v>
      </c>
      <c r="T280" s="3">
        <f t="shared" si="29"/>
        <v>0</v>
      </c>
      <c r="U280" s="3" t="str">
        <f t="shared" si="30"/>
        <v>USTED ESTÁ AL DÍA</v>
      </c>
      <c r="V280" s="3" t="s">
        <v>27</v>
      </c>
      <c r="W280">
        <v>30</v>
      </c>
      <c r="X280">
        <v>50</v>
      </c>
      <c r="Y280">
        <f t="shared" si="31"/>
        <v>80</v>
      </c>
    </row>
    <row r="281" spans="1:25" ht="15.75" hidden="1" customHeight="1" x14ac:dyDescent="0.35">
      <c r="A281" s="3">
        <v>17175</v>
      </c>
      <c r="B281" s="3" t="s">
        <v>23</v>
      </c>
      <c r="C281" s="2">
        <v>46179</v>
      </c>
      <c r="D281" s="2">
        <v>46174</v>
      </c>
      <c r="E281" s="2">
        <v>46122</v>
      </c>
      <c r="F281" s="2">
        <v>46152</v>
      </c>
      <c r="G281" t="s">
        <v>373</v>
      </c>
      <c r="H281" t="s">
        <v>357</v>
      </c>
      <c r="I281" t="s">
        <v>33</v>
      </c>
      <c r="L281">
        <f t="shared" si="27"/>
        <v>0</v>
      </c>
      <c r="S281">
        <v>0</v>
      </c>
      <c r="T281" s="3">
        <f t="shared" si="29"/>
        <v>0</v>
      </c>
      <c r="U281" s="3" t="str">
        <f t="shared" si="30"/>
        <v>USTED ESTÁ AL DÍA</v>
      </c>
      <c r="V281" s="3" t="s">
        <v>27</v>
      </c>
      <c r="W281">
        <v>50</v>
      </c>
      <c r="Y281">
        <f t="shared" si="31"/>
        <v>50</v>
      </c>
    </row>
    <row r="282" spans="1:25" ht="15.75" hidden="1" customHeight="1" x14ac:dyDescent="0.35">
      <c r="A282" s="3">
        <v>17176</v>
      </c>
      <c r="B282" s="3" t="s">
        <v>23</v>
      </c>
      <c r="C282" s="2">
        <v>46179</v>
      </c>
      <c r="D282" s="2">
        <v>46174</v>
      </c>
      <c r="E282" s="2">
        <v>46122</v>
      </c>
      <c r="F282" s="2">
        <v>46152</v>
      </c>
      <c r="G282" t="s">
        <v>374</v>
      </c>
      <c r="H282" t="s">
        <v>375</v>
      </c>
      <c r="I282" t="s">
        <v>26</v>
      </c>
      <c r="J282">
        <v>41</v>
      </c>
      <c r="K282">
        <v>72</v>
      </c>
      <c r="L282">
        <f t="shared" si="27"/>
        <v>31</v>
      </c>
      <c r="M282">
        <v>31</v>
      </c>
      <c r="N282">
        <f>IF(L282&lt;&gt;M282,1,0)</f>
        <v>0</v>
      </c>
      <c r="O282">
        <v>31</v>
      </c>
      <c r="R282">
        <v>25</v>
      </c>
      <c r="S282">
        <v>3</v>
      </c>
      <c r="T282" s="3">
        <f t="shared" si="29"/>
        <v>59</v>
      </c>
      <c r="U282" s="3" t="str">
        <f t="shared" si="30"/>
        <v>USTED ESTÁ AL DÍA</v>
      </c>
      <c r="V282" s="3" t="s">
        <v>27</v>
      </c>
      <c r="W282">
        <v>50</v>
      </c>
      <c r="Y282">
        <f t="shared" si="31"/>
        <v>109</v>
      </c>
    </row>
    <row r="283" spans="1:25" ht="15.75" hidden="1" customHeight="1" x14ac:dyDescent="0.35">
      <c r="A283" s="3">
        <v>17177</v>
      </c>
      <c r="B283" s="3" t="s">
        <v>23</v>
      </c>
      <c r="C283" s="2">
        <v>46179</v>
      </c>
      <c r="D283" s="2">
        <v>46174</v>
      </c>
      <c r="E283" s="2">
        <v>46122</v>
      </c>
      <c r="F283" s="2">
        <v>46152</v>
      </c>
      <c r="G283" t="s">
        <v>376</v>
      </c>
      <c r="H283" t="s">
        <v>375</v>
      </c>
      <c r="I283" t="s">
        <v>29</v>
      </c>
      <c r="J283">
        <v>572</v>
      </c>
      <c r="K283">
        <v>582</v>
      </c>
      <c r="L283">
        <f t="shared" si="27"/>
        <v>10</v>
      </c>
      <c r="M283">
        <v>10</v>
      </c>
      <c r="N283">
        <f>IF(L283&lt;&gt;M283,1,0)</f>
        <v>0</v>
      </c>
      <c r="O283">
        <v>10</v>
      </c>
      <c r="S283">
        <v>3</v>
      </c>
      <c r="T283" s="3">
        <f t="shared" si="29"/>
        <v>13</v>
      </c>
      <c r="U283" s="3" t="str">
        <f t="shared" si="30"/>
        <v>USTED ESTÁ AL DÍA</v>
      </c>
      <c r="V283" s="3" t="s">
        <v>27</v>
      </c>
      <c r="Y283">
        <f t="shared" si="31"/>
        <v>13</v>
      </c>
    </row>
    <row r="284" spans="1:25" ht="15.75" hidden="1" customHeight="1" x14ac:dyDescent="0.35">
      <c r="A284" s="3">
        <v>17178</v>
      </c>
      <c r="B284" s="3" t="s">
        <v>23</v>
      </c>
      <c r="C284" s="2">
        <v>46179</v>
      </c>
      <c r="D284" s="2">
        <v>46174</v>
      </c>
      <c r="E284" s="2">
        <v>46122</v>
      </c>
      <c r="F284" s="2">
        <v>46152</v>
      </c>
      <c r="G284" t="s">
        <v>377</v>
      </c>
      <c r="H284" t="s">
        <v>375</v>
      </c>
      <c r="I284" t="s">
        <v>31</v>
      </c>
      <c r="J284">
        <v>2024</v>
      </c>
      <c r="K284">
        <v>2042</v>
      </c>
      <c r="L284">
        <f t="shared" si="27"/>
        <v>18</v>
      </c>
      <c r="M284">
        <v>18</v>
      </c>
      <c r="N284">
        <f>IF(L284&lt;&gt;M284,1,0)</f>
        <v>0</v>
      </c>
      <c r="O284">
        <v>18</v>
      </c>
      <c r="S284">
        <v>3</v>
      </c>
      <c r="T284" s="3">
        <f t="shared" si="29"/>
        <v>21</v>
      </c>
      <c r="U284" s="3" t="str">
        <f t="shared" si="30"/>
        <v>USTED ESTÁ AL DÍA</v>
      </c>
      <c r="V284" s="3" t="s">
        <v>27</v>
      </c>
      <c r="W284">
        <v>50</v>
      </c>
      <c r="X284">
        <v>75</v>
      </c>
      <c r="Y284">
        <f t="shared" si="31"/>
        <v>146</v>
      </c>
    </row>
    <row r="285" spans="1:25" ht="15.75" hidden="1" customHeight="1" x14ac:dyDescent="0.35">
      <c r="A285" s="3">
        <v>17179</v>
      </c>
      <c r="B285" s="3" t="s">
        <v>23</v>
      </c>
      <c r="C285" s="2">
        <v>46179</v>
      </c>
      <c r="D285" s="2">
        <v>46174</v>
      </c>
      <c r="E285" s="2">
        <v>46122</v>
      </c>
      <c r="F285" s="2">
        <v>46152</v>
      </c>
      <c r="G285" t="s">
        <v>378</v>
      </c>
      <c r="H285" t="s">
        <v>375</v>
      </c>
      <c r="I285" t="s">
        <v>33</v>
      </c>
      <c r="J285">
        <v>688</v>
      </c>
      <c r="K285">
        <v>691</v>
      </c>
      <c r="L285">
        <f t="shared" si="27"/>
        <v>3</v>
      </c>
      <c r="M285">
        <v>5</v>
      </c>
      <c r="O285">
        <v>5</v>
      </c>
      <c r="S285">
        <v>3</v>
      </c>
      <c r="T285" s="3">
        <f t="shared" si="29"/>
        <v>8</v>
      </c>
      <c r="U285" s="3" t="str">
        <f t="shared" si="30"/>
        <v>USTED ESTÁ AL DÍA</v>
      </c>
      <c r="V285" s="3" t="s">
        <v>27</v>
      </c>
      <c r="W285">
        <v>20</v>
      </c>
      <c r="Y285">
        <f t="shared" si="31"/>
        <v>28</v>
      </c>
    </row>
    <row r="286" spans="1:25" ht="15.75" hidden="1" customHeight="1" x14ac:dyDescent="0.35">
      <c r="A286" s="3">
        <v>17180</v>
      </c>
      <c r="B286" s="3" t="s">
        <v>23</v>
      </c>
      <c r="C286" s="2">
        <v>46179</v>
      </c>
      <c r="D286" s="2">
        <v>46174</v>
      </c>
      <c r="E286" s="2">
        <v>46122</v>
      </c>
      <c r="F286" s="2">
        <v>46152</v>
      </c>
      <c r="G286" t="s">
        <v>379</v>
      </c>
      <c r="H286" t="s">
        <v>375</v>
      </c>
      <c r="I286" t="s">
        <v>35</v>
      </c>
      <c r="J286">
        <v>3400</v>
      </c>
      <c r="K286">
        <v>3433</v>
      </c>
      <c r="L286">
        <f t="shared" si="27"/>
        <v>33</v>
      </c>
      <c r="M286">
        <v>33</v>
      </c>
      <c r="N286">
        <f>IF(L286&lt;&gt;M286,1,0)</f>
        <v>0</v>
      </c>
      <c r="O286">
        <v>33</v>
      </c>
      <c r="S286">
        <v>3</v>
      </c>
      <c r="T286" s="3">
        <f t="shared" si="29"/>
        <v>36</v>
      </c>
      <c r="U286" s="3" t="str">
        <f t="shared" si="30"/>
        <v>USTED ESTÁ AL DÍA</v>
      </c>
      <c r="V286" s="3" t="s">
        <v>27</v>
      </c>
      <c r="W286">
        <v>30</v>
      </c>
      <c r="Y286">
        <f t="shared" si="31"/>
        <v>66</v>
      </c>
    </row>
    <row r="287" spans="1:25" ht="15.75" hidden="1" customHeight="1" x14ac:dyDescent="0.35">
      <c r="A287" s="3">
        <v>17181</v>
      </c>
      <c r="B287" s="3" t="s">
        <v>23</v>
      </c>
      <c r="C287" s="2">
        <v>46179</v>
      </c>
      <c r="D287" s="2">
        <v>46174</v>
      </c>
      <c r="E287" s="2">
        <v>46122</v>
      </c>
      <c r="F287" s="2">
        <v>46152</v>
      </c>
      <c r="G287" t="s">
        <v>380</v>
      </c>
      <c r="H287" t="s">
        <v>375</v>
      </c>
      <c r="I287" t="s">
        <v>37</v>
      </c>
      <c r="J287">
        <v>483</v>
      </c>
      <c r="K287">
        <v>498</v>
      </c>
      <c r="L287">
        <f t="shared" si="27"/>
        <v>15</v>
      </c>
      <c r="M287">
        <v>15</v>
      </c>
      <c r="N287">
        <f>IF(L287&lt;&gt;M287,1,0)</f>
        <v>0</v>
      </c>
      <c r="O287">
        <v>15</v>
      </c>
      <c r="S287">
        <v>3</v>
      </c>
      <c r="T287" s="3">
        <f t="shared" si="29"/>
        <v>18</v>
      </c>
      <c r="U287" s="3" t="str">
        <f t="shared" si="30"/>
        <v>USTED ESTÁ AL DÍA</v>
      </c>
      <c r="V287" s="3" t="s">
        <v>27</v>
      </c>
      <c r="W287">
        <v>50</v>
      </c>
      <c r="X287">
        <v>50</v>
      </c>
      <c r="Y287">
        <f t="shared" si="31"/>
        <v>118</v>
      </c>
    </row>
    <row r="288" spans="1:25" ht="15.75" hidden="1" customHeight="1" x14ac:dyDescent="0.35">
      <c r="A288" s="3">
        <v>17182</v>
      </c>
      <c r="B288" s="3" t="s">
        <v>23</v>
      </c>
      <c r="C288" s="2">
        <v>46179</v>
      </c>
      <c r="D288" s="2">
        <v>46174</v>
      </c>
      <c r="E288" s="2">
        <v>46122</v>
      </c>
      <c r="F288" s="2">
        <v>46152</v>
      </c>
      <c r="G288" t="s">
        <v>381</v>
      </c>
      <c r="H288" t="s">
        <v>375</v>
      </c>
      <c r="I288" t="s">
        <v>39</v>
      </c>
      <c r="J288">
        <v>590</v>
      </c>
      <c r="K288">
        <v>603</v>
      </c>
      <c r="L288">
        <f t="shared" si="27"/>
        <v>13</v>
      </c>
      <c r="M288">
        <v>13</v>
      </c>
      <c r="N288">
        <f>IF(L288&lt;&gt;M288,1,0)</f>
        <v>0</v>
      </c>
      <c r="O288">
        <v>13</v>
      </c>
      <c r="P288">
        <v>1</v>
      </c>
      <c r="S288">
        <v>3</v>
      </c>
      <c r="T288" s="3">
        <f t="shared" si="29"/>
        <v>17</v>
      </c>
      <c r="U288" s="3" t="str">
        <f t="shared" si="30"/>
        <v>USTED ESTÁ AL DÍA</v>
      </c>
      <c r="V288" s="3" t="s">
        <v>27</v>
      </c>
      <c r="W288">
        <v>30</v>
      </c>
      <c r="Y288">
        <f t="shared" si="31"/>
        <v>47</v>
      </c>
    </row>
    <row r="289" spans="1:25" ht="15.75" hidden="1" customHeight="1" x14ac:dyDescent="0.35">
      <c r="A289" s="3">
        <v>17183</v>
      </c>
      <c r="B289" s="3" t="s">
        <v>23</v>
      </c>
      <c r="C289" s="2">
        <v>46179</v>
      </c>
      <c r="D289" s="2">
        <v>46174</v>
      </c>
      <c r="E289" s="2">
        <v>46122</v>
      </c>
      <c r="F289" s="2">
        <v>46152</v>
      </c>
      <c r="G289" t="s">
        <v>382</v>
      </c>
      <c r="H289" t="s">
        <v>375</v>
      </c>
      <c r="I289" t="s">
        <v>41</v>
      </c>
      <c r="J289">
        <v>1</v>
      </c>
      <c r="K289">
        <v>2</v>
      </c>
      <c r="L289">
        <f t="shared" si="27"/>
        <v>1</v>
      </c>
      <c r="M289">
        <v>5</v>
      </c>
      <c r="O289">
        <v>5</v>
      </c>
      <c r="S289">
        <v>3</v>
      </c>
      <c r="T289" s="3">
        <f t="shared" si="29"/>
        <v>8</v>
      </c>
      <c r="U289" s="3" t="str">
        <f t="shared" si="30"/>
        <v>USTED ESTÁ AL DÍA</v>
      </c>
      <c r="V289" s="3" t="s">
        <v>27</v>
      </c>
      <c r="W289">
        <v>50</v>
      </c>
      <c r="X289">
        <v>25</v>
      </c>
      <c r="Y289">
        <f t="shared" si="31"/>
        <v>83</v>
      </c>
    </row>
    <row r="290" spans="1:25" ht="15.75" hidden="1" customHeight="1" x14ac:dyDescent="0.35">
      <c r="A290" s="3">
        <v>17184</v>
      </c>
      <c r="B290" s="3" t="s">
        <v>23</v>
      </c>
      <c r="C290" s="2">
        <v>46179</v>
      </c>
      <c r="D290" s="2">
        <v>46174</v>
      </c>
      <c r="E290" s="2">
        <v>46122</v>
      </c>
      <c r="F290" s="2">
        <v>46152</v>
      </c>
      <c r="G290" t="s">
        <v>383</v>
      </c>
      <c r="H290" t="s">
        <v>375</v>
      </c>
      <c r="I290" t="s">
        <v>43</v>
      </c>
      <c r="J290">
        <v>500</v>
      </c>
      <c r="K290">
        <v>508</v>
      </c>
      <c r="L290">
        <f t="shared" si="27"/>
        <v>8</v>
      </c>
      <c r="M290">
        <v>8</v>
      </c>
      <c r="N290">
        <f>IF(L290&lt;&gt;M290,1,0)</f>
        <v>0</v>
      </c>
      <c r="O290">
        <v>8</v>
      </c>
      <c r="S290">
        <v>3</v>
      </c>
      <c r="T290" s="3">
        <f t="shared" si="29"/>
        <v>11</v>
      </c>
      <c r="U290" s="3" t="str">
        <f t="shared" si="30"/>
        <v>USTED ESTÁ AL DÍA</v>
      </c>
      <c r="V290" s="3" t="s">
        <v>27</v>
      </c>
      <c r="W290">
        <v>50</v>
      </c>
      <c r="X290">
        <v>75</v>
      </c>
      <c r="Y290">
        <f t="shared" si="31"/>
        <v>136</v>
      </c>
    </row>
    <row r="291" spans="1:25" ht="15.75" hidden="1" customHeight="1" x14ac:dyDescent="0.35">
      <c r="A291" s="3">
        <v>17185</v>
      </c>
      <c r="B291" s="3" t="s">
        <v>23</v>
      </c>
      <c r="C291" s="2">
        <v>46179</v>
      </c>
      <c r="D291" s="2">
        <v>46174</v>
      </c>
      <c r="E291" s="2">
        <v>46122</v>
      </c>
      <c r="F291" s="2">
        <v>46152</v>
      </c>
      <c r="G291" t="s">
        <v>384</v>
      </c>
      <c r="H291" t="s">
        <v>375</v>
      </c>
      <c r="I291" t="s">
        <v>45</v>
      </c>
      <c r="J291">
        <v>76</v>
      </c>
      <c r="K291">
        <v>79</v>
      </c>
      <c r="L291">
        <f t="shared" si="27"/>
        <v>3</v>
      </c>
      <c r="M291">
        <v>5</v>
      </c>
      <c r="O291">
        <v>5</v>
      </c>
      <c r="S291">
        <v>3</v>
      </c>
      <c r="T291" s="3">
        <f t="shared" si="29"/>
        <v>8</v>
      </c>
      <c r="U291" s="3" t="str">
        <f t="shared" si="30"/>
        <v>USTED ESTÁ AL DÍA</v>
      </c>
      <c r="V291" s="3" t="s">
        <v>27</v>
      </c>
      <c r="W291">
        <v>20</v>
      </c>
      <c r="X291">
        <v>25</v>
      </c>
      <c r="Y291">
        <f t="shared" si="31"/>
        <v>53</v>
      </c>
    </row>
    <row r="292" spans="1:25" ht="15.75" hidden="1" customHeight="1" x14ac:dyDescent="0.35">
      <c r="A292" s="3">
        <v>17186</v>
      </c>
      <c r="B292" s="3" t="s">
        <v>23</v>
      </c>
      <c r="C292" s="2">
        <v>46179</v>
      </c>
      <c r="D292" s="2">
        <v>46174</v>
      </c>
      <c r="E292" s="2">
        <v>46122</v>
      </c>
      <c r="F292" s="2">
        <v>46152</v>
      </c>
      <c r="G292" t="s">
        <v>385</v>
      </c>
      <c r="H292" t="s">
        <v>375</v>
      </c>
      <c r="I292" t="s">
        <v>47</v>
      </c>
      <c r="J292">
        <v>35</v>
      </c>
      <c r="K292">
        <v>45</v>
      </c>
      <c r="L292">
        <f t="shared" si="27"/>
        <v>10</v>
      </c>
      <c r="M292">
        <v>10</v>
      </c>
      <c r="N292">
        <f>IF(L292&lt;&gt;M292,1,0)</f>
        <v>0</v>
      </c>
      <c r="O292">
        <v>10</v>
      </c>
      <c r="R292">
        <v>25</v>
      </c>
      <c r="S292">
        <v>3</v>
      </c>
      <c r="T292" s="3">
        <f t="shared" si="29"/>
        <v>38</v>
      </c>
      <c r="U292" s="3" t="str">
        <f t="shared" si="30"/>
        <v>USTED ESTÁ AL DÍA</v>
      </c>
      <c r="V292" s="3" t="s">
        <v>27</v>
      </c>
      <c r="X292">
        <v>50</v>
      </c>
      <c r="Y292">
        <f t="shared" si="31"/>
        <v>88</v>
      </c>
    </row>
    <row r="293" spans="1:25" ht="15.75" hidden="1" customHeight="1" x14ac:dyDescent="0.35">
      <c r="A293" s="3">
        <v>17187</v>
      </c>
      <c r="B293" s="3" t="s">
        <v>23</v>
      </c>
      <c r="C293" s="2">
        <v>46179</v>
      </c>
      <c r="D293" s="2">
        <v>46174</v>
      </c>
      <c r="E293" s="2">
        <v>46122</v>
      </c>
      <c r="F293" s="2">
        <v>46152</v>
      </c>
      <c r="G293" t="s">
        <v>386</v>
      </c>
      <c r="H293" t="s">
        <v>375</v>
      </c>
      <c r="I293" t="s">
        <v>66</v>
      </c>
      <c r="J293">
        <v>20</v>
      </c>
      <c r="K293">
        <v>26</v>
      </c>
      <c r="L293">
        <f t="shared" si="27"/>
        <v>6</v>
      </c>
      <c r="M293">
        <v>6</v>
      </c>
      <c r="N293">
        <f>IF(L293&lt;&gt;M293,1,0)</f>
        <v>0</v>
      </c>
      <c r="O293">
        <v>6</v>
      </c>
      <c r="R293">
        <v>25</v>
      </c>
      <c r="S293">
        <v>3</v>
      </c>
      <c r="T293" s="3">
        <f t="shared" si="29"/>
        <v>34</v>
      </c>
      <c r="U293" s="3" t="str">
        <f t="shared" si="30"/>
        <v>USTED ESTÁ AL DÍA</v>
      </c>
      <c r="V293" s="3" t="s">
        <v>27</v>
      </c>
      <c r="X293">
        <v>50</v>
      </c>
      <c r="Y293">
        <f t="shared" si="31"/>
        <v>84</v>
      </c>
    </row>
    <row r="294" spans="1:25" ht="15.75" hidden="1" customHeight="1" x14ac:dyDescent="0.35">
      <c r="A294" s="3">
        <v>17188</v>
      </c>
      <c r="B294" s="3" t="s">
        <v>23</v>
      </c>
      <c r="C294" s="2">
        <v>46179</v>
      </c>
      <c r="D294" s="2">
        <v>46174</v>
      </c>
      <c r="E294" s="2">
        <v>46122</v>
      </c>
      <c r="F294" s="2">
        <v>46152</v>
      </c>
      <c r="G294" t="s">
        <v>387</v>
      </c>
      <c r="H294" t="s">
        <v>375</v>
      </c>
      <c r="I294" t="s">
        <v>68</v>
      </c>
      <c r="J294">
        <v>35</v>
      </c>
      <c r="K294">
        <v>53</v>
      </c>
      <c r="L294">
        <f t="shared" si="27"/>
        <v>18</v>
      </c>
      <c r="M294">
        <v>18</v>
      </c>
      <c r="N294">
        <f>IF(L294&lt;&gt;M294,1,0)</f>
        <v>0</v>
      </c>
      <c r="O294">
        <v>18</v>
      </c>
      <c r="S294">
        <v>3</v>
      </c>
      <c r="T294" s="3">
        <f t="shared" si="29"/>
        <v>21</v>
      </c>
      <c r="U294" s="3" t="str">
        <f t="shared" si="30"/>
        <v>USTED ESTÁ AL DÍA</v>
      </c>
      <c r="V294" s="3" t="s">
        <v>27</v>
      </c>
      <c r="W294">
        <v>30</v>
      </c>
      <c r="Y294">
        <f t="shared" si="31"/>
        <v>51</v>
      </c>
    </row>
    <row r="295" spans="1:25" ht="15.75" hidden="1" customHeight="1" x14ac:dyDescent="0.35">
      <c r="A295" s="3">
        <v>17189</v>
      </c>
      <c r="B295" s="3" t="s">
        <v>23</v>
      </c>
      <c r="C295" s="2">
        <v>46179</v>
      </c>
      <c r="D295" s="2">
        <v>46174</v>
      </c>
      <c r="E295" s="2">
        <v>46122</v>
      </c>
      <c r="F295" s="2">
        <v>46152</v>
      </c>
      <c r="G295" t="s">
        <v>388</v>
      </c>
      <c r="H295" t="s">
        <v>375</v>
      </c>
      <c r="I295" t="s">
        <v>97</v>
      </c>
      <c r="J295">
        <v>14</v>
      </c>
      <c r="K295">
        <v>21</v>
      </c>
      <c r="L295">
        <f t="shared" si="27"/>
        <v>7</v>
      </c>
      <c r="M295">
        <v>7</v>
      </c>
      <c r="N295">
        <f>IF(L295&lt;&gt;M295,1,0)</f>
        <v>0</v>
      </c>
      <c r="O295">
        <v>7</v>
      </c>
      <c r="R295">
        <v>25</v>
      </c>
      <c r="S295">
        <v>3</v>
      </c>
      <c r="T295" s="3">
        <f t="shared" si="29"/>
        <v>35</v>
      </c>
      <c r="U295" s="3" t="str">
        <f t="shared" si="30"/>
        <v>USTED ESTÁ AL DÍA</v>
      </c>
      <c r="V295" s="3" t="s">
        <v>27</v>
      </c>
      <c r="W295">
        <v>30</v>
      </c>
      <c r="X295">
        <v>75</v>
      </c>
      <c r="Y295">
        <f t="shared" si="31"/>
        <v>140</v>
      </c>
    </row>
    <row r="296" spans="1:25" ht="15.75" hidden="1" customHeight="1" x14ac:dyDescent="0.35">
      <c r="A296" s="3">
        <v>17190</v>
      </c>
      <c r="B296" s="3" t="s">
        <v>23</v>
      </c>
      <c r="C296" s="2">
        <v>46179</v>
      </c>
      <c r="D296" s="2">
        <v>46174</v>
      </c>
      <c r="E296" s="2">
        <v>46122</v>
      </c>
      <c r="F296" s="2">
        <v>46152</v>
      </c>
      <c r="G296" t="s">
        <v>389</v>
      </c>
      <c r="H296" t="s">
        <v>375</v>
      </c>
      <c r="I296" t="s">
        <v>101</v>
      </c>
      <c r="J296">
        <v>40</v>
      </c>
      <c r="K296">
        <v>58</v>
      </c>
      <c r="L296">
        <f t="shared" si="27"/>
        <v>18</v>
      </c>
      <c r="M296">
        <v>18</v>
      </c>
      <c r="N296">
        <f>IF(L296&lt;&gt;M296,1,0)</f>
        <v>0</v>
      </c>
      <c r="O296">
        <v>18</v>
      </c>
      <c r="R296">
        <v>25</v>
      </c>
      <c r="S296">
        <v>3</v>
      </c>
      <c r="T296" s="3">
        <f t="shared" si="29"/>
        <v>46</v>
      </c>
      <c r="U296" s="3" t="str">
        <f t="shared" si="30"/>
        <v>USTED ESTÁ AL DÍA</v>
      </c>
      <c r="V296" s="3" t="s">
        <v>27</v>
      </c>
      <c r="W296">
        <v>50</v>
      </c>
      <c r="X296">
        <v>75</v>
      </c>
      <c r="Y296">
        <f t="shared" si="31"/>
        <v>171</v>
      </c>
    </row>
    <row r="297" spans="1:25" ht="15.75" hidden="1" customHeight="1" x14ac:dyDescent="0.35">
      <c r="A297" s="3">
        <v>17191</v>
      </c>
      <c r="B297" s="3" t="s">
        <v>23</v>
      </c>
      <c r="C297" s="2">
        <v>46179</v>
      </c>
      <c r="D297" s="2">
        <v>46174</v>
      </c>
      <c r="E297" s="2">
        <v>46122</v>
      </c>
      <c r="F297" s="2">
        <v>46152</v>
      </c>
      <c r="G297" t="s">
        <v>390</v>
      </c>
      <c r="H297" t="s">
        <v>375</v>
      </c>
      <c r="I297" t="s">
        <v>79</v>
      </c>
      <c r="J297">
        <v>5</v>
      </c>
      <c r="K297">
        <v>7</v>
      </c>
      <c r="L297">
        <f t="shared" si="27"/>
        <v>2</v>
      </c>
      <c r="M297">
        <v>5</v>
      </c>
      <c r="O297">
        <v>5</v>
      </c>
      <c r="R297">
        <v>25</v>
      </c>
      <c r="S297">
        <v>3</v>
      </c>
      <c r="T297" s="3">
        <f t="shared" si="29"/>
        <v>33</v>
      </c>
      <c r="U297" s="3" t="str">
        <f t="shared" si="30"/>
        <v>USTED ESTÁ AL DÍA</v>
      </c>
      <c r="V297" s="3" t="s">
        <v>27</v>
      </c>
      <c r="W297">
        <v>50</v>
      </c>
      <c r="X297">
        <v>75</v>
      </c>
      <c r="Y297">
        <f t="shared" si="31"/>
        <v>158</v>
      </c>
    </row>
    <row r="298" spans="1:25" ht="15.75" hidden="1" customHeight="1" x14ac:dyDescent="0.35">
      <c r="A298" s="3">
        <v>17192</v>
      </c>
      <c r="B298" s="3" t="s">
        <v>23</v>
      </c>
      <c r="C298" s="2">
        <v>46179</v>
      </c>
      <c r="D298" s="2">
        <v>46174</v>
      </c>
      <c r="E298" s="2">
        <v>46122</v>
      </c>
      <c r="F298" s="2">
        <v>46152</v>
      </c>
      <c r="G298" t="s">
        <v>391</v>
      </c>
      <c r="H298" t="s">
        <v>375</v>
      </c>
      <c r="I298" t="s">
        <v>93</v>
      </c>
      <c r="J298">
        <v>19</v>
      </c>
      <c r="K298">
        <v>26</v>
      </c>
      <c r="L298">
        <f t="shared" si="27"/>
        <v>7</v>
      </c>
      <c r="M298">
        <v>7</v>
      </c>
      <c r="N298">
        <f>IF(L298&lt;&gt;M298,1,0)</f>
        <v>0</v>
      </c>
      <c r="O298">
        <v>7</v>
      </c>
      <c r="R298">
        <v>25</v>
      </c>
      <c r="S298">
        <v>3</v>
      </c>
      <c r="T298" s="3">
        <f t="shared" si="29"/>
        <v>35</v>
      </c>
      <c r="U298" s="3" t="str">
        <f t="shared" si="30"/>
        <v>USTED ESTÁ AL DÍA</v>
      </c>
      <c r="V298" s="3" t="s">
        <v>27</v>
      </c>
      <c r="Y298">
        <f t="shared" si="31"/>
        <v>35</v>
      </c>
    </row>
    <row r="299" spans="1:25" ht="15.75" hidden="1" customHeight="1" x14ac:dyDescent="0.35">
      <c r="A299" s="3">
        <v>17193</v>
      </c>
      <c r="B299" s="3" t="s">
        <v>23</v>
      </c>
      <c r="C299" s="2">
        <v>46179</v>
      </c>
      <c r="D299" s="2">
        <v>46174</v>
      </c>
      <c r="E299" s="2">
        <v>46122</v>
      </c>
      <c r="F299" s="2">
        <v>46152</v>
      </c>
      <c r="G299" t="s">
        <v>392</v>
      </c>
      <c r="H299" t="s">
        <v>375</v>
      </c>
      <c r="I299" t="s">
        <v>95</v>
      </c>
      <c r="J299">
        <v>579</v>
      </c>
      <c r="K299">
        <v>593</v>
      </c>
      <c r="L299">
        <f t="shared" si="27"/>
        <v>14</v>
      </c>
      <c r="M299">
        <v>14</v>
      </c>
      <c r="N299">
        <f>IF(L299&lt;&gt;M299,1,0)</f>
        <v>0</v>
      </c>
      <c r="O299">
        <v>14</v>
      </c>
      <c r="S299">
        <v>3</v>
      </c>
      <c r="T299" s="3">
        <f t="shared" si="29"/>
        <v>17</v>
      </c>
      <c r="U299" s="3" t="str">
        <f t="shared" si="30"/>
        <v>USTED ESTÁ AL DÍA</v>
      </c>
      <c r="V299" s="3" t="s">
        <v>27</v>
      </c>
      <c r="W299">
        <v>30</v>
      </c>
      <c r="Y299">
        <f t="shared" si="31"/>
        <v>47</v>
      </c>
    </row>
    <row r="300" spans="1:25" ht="15.75" hidden="1" customHeight="1" x14ac:dyDescent="0.35">
      <c r="A300" s="3">
        <v>17194</v>
      </c>
      <c r="B300" s="3" t="s">
        <v>23</v>
      </c>
      <c r="C300" s="2">
        <v>46179</v>
      </c>
      <c r="D300" s="2">
        <v>46174</v>
      </c>
      <c r="E300" s="2">
        <v>46122</v>
      </c>
      <c r="F300" s="2">
        <v>46152</v>
      </c>
      <c r="G300" t="s">
        <v>393</v>
      </c>
      <c r="H300" t="s">
        <v>375</v>
      </c>
      <c r="I300" t="s">
        <v>394</v>
      </c>
      <c r="J300">
        <v>112</v>
      </c>
      <c r="K300">
        <v>117</v>
      </c>
      <c r="L300">
        <f t="shared" si="27"/>
        <v>5</v>
      </c>
      <c r="M300">
        <v>5</v>
      </c>
      <c r="O300">
        <v>5</v>
      </c>
      <c r="S300">
        <v>3</v>
      </c>
      <c r="T300" s="3">
        <f t="shared" si="29"/>
        <v>8</v>
      </c>
      <c r="U300" s="3" t="str">
        <f t="shared" si="30"/>
        <v>USTED ESTÁ AL DÍA</v>
      </c>
      <c r="V300" s="3" t="s">
        <v>27</v>
      </c>
      <c r="Y300">
        <f t="shared" si="31"/>
        <v>8</v>
      </c>
    </row>
    <row r="301" spans="1:25" ht="15.75" hidden="1" customHeight="1" x14ac:dyDescent="0.35">
      <c r="A301" s="3">
        <v>17195</v>
      </c>
      <c r="B301" s="3" t="s">
        <v>23</v>
      </c>
      <c r="C301" s="2">
        <v>46179</v>
      </c>
      <c r="D301" s="2">
        <v>46174</v>
      </c>
      <c r="E301" s="2">
        <v>46122</v>
      </c>
      <c r="F301" s="2">
        <v>46152</v>
      </c>
      <c r="G301" t="s">
        <v>395</v>
      </c>
      <c r="H301" t="s">
        <v>396</v>
      </c>
      <c r="I301" t="s">
        <v>26</v>
      </c>
      <c r="J301">
        <v>99</v>
      </c>
      <c r="K301">
        <v>107</v>
      </c>
      <c r="L301">
        <f t="shared" si="27"/>
        <v>8</v>
      </c>
      <c r="M301">
        <v>8</v>
      </c>
      <c r="N301">
        <f>IF(L301&lt;&gt;M301,1,0)</f>
        <v>0</v>
      </c>
      <c r="O301">
        <v>8</v>
      </c>
      <c r="P301">
        <v>54</v>
      </c>
      <c r="R301">
        <v>25</v>
      </c>
      <c r="S301">
        <v>3</v>
      </c>
      <c r="T301" s="3">
        <f t="shared" si="29"/>
        <v>90</v>
      </c>
      <c r="U301" s="3" t="str">
        <f t="shared" si="30"/>
        <v>USTED NO ESTÁ AL DÍA</v>
      </c>
      <c r="V301" s="3" t="s">
        <v>27</v>
      </c>
      <c r="W301">
        <v>20</v>
      </c>
      <c r="X301">
        <v>75</v>
      </c>
      <c r="Y301">
        <f t="shared" si="31"/>
        <v>185</v>
      </c>
    </row>
    <row r="302" spans="1:25" ht="15.75" hidden="1" customHeight="1" x14ac:dyDescent="0.35">
      <c r="A302" s="3">
        <v>17196</v>
      </c>
      <c r="B302" s="3" t="s">
        <v>23</v>
      </c>
      <c r="C302" s="2">
        <v>46179</v>
      </c>
      <c r="D302" s="2">
        <v>46174</v>
      </c>
      <c r="E302" s="2">
        <v>46122</v>
      </c>
      <c r="F302" s="2">
        <v>46152</v>
      </c>
      <c r="G302" t="s">
        <v>397</v>
      </c>
      <c r="H302" t="s">
        <v>396</v>
      </c>
      <c r="I302" t="s">
        <v>37</v>
      </c>
      <c r="L302">
        <f t="shared" si="27"/>
        <v>0</v>
      </c>
      <c r="P302">
        <v>19</v>
      </c>
      <c r="R302">
        <v>25</v>
      </c>
      <c r="S302">
        <v>3</v>
      </c>
      <c r="T302" s="3">
        <f t="shared" si="29"/>
        <v>47</v>
      </c>
      <c r="U302" s="3" t="str">
        <f t="shared" si="30"/>
        <v>USTED NO ESTÁ AL DÍA</v>
      </c>
      <c r="V302" s="3" t="s">
        <v>27</v>
      </c>
      <c r="W302">
        <v>50</v>
      </c>
      <c r="X302">
        <v>75</v>
      </c>
      <c r="Y302">
        <f t="shared" si="31"/>
        <v>172</v>
      </c>
    </row>
    <row r="303" spans="1:25" ht="15.75" hidden="1" customHeight="1" x14ac:dyDescent="0.35">
      <c r="A303" s="3">
        <v>17197</v>
      </c>
      <c r="B303" s="3" t="s">
        <v>23</v>
      </c>
      <c r="C303" s="2">
        <v>46179</v>
      </c>
      <c r="D303" s="2">
        <v>46174</v>
      </c>
      <c r="E303" s="2">
        <v>46122</v>
      </c>
      <c r="F303" s="2">
        <v>46152</v>
      </c>
      <c r="G303" t="s">
        <v>398</v>
      </c>
      <c r="H303" t="s">
        <v>396</v>
      </c>
      <c r="I303" t="s">
        <v>97</v>
      </c>
      <c r="J303">
        <v>13818</v>
      </c>
      <c r="K303">
        <v>13931</v>
      </c>
      <c r="L303">
        <f t="shared" si="27"/>
        <v>113</v>
      </c>
      <c r="M303">
        <v>113</v>
      </c>
      <c r="N303">
        <f>IF(L303&lt;&gt;M303,1,0)</f>
        <v>0</v>
      </c>
      <c r="O303">
        <v>113</v>
      </c>
      <c r="P303">
        <v>581</v>
      </c>
      <c r="Q303">
        <v>40</v>
      </c>
      <c r="S303">
        <v>3</v>
      </c>
      <c r="T303" s="3">
        <f t="shared" si="29"/>
        <v>737</v>
      </c>
      <c r="U303" s="3" t="str">
        <f t="shared" si="30"/>
        <v>USTED NO ESTÁ AL DÍA</v>
      </c>
      <c r="V303" s="3" t="s">
        <v>27</v>
      </c>
      <c r="W303">
        <v>50</v>
      </c>
      <c r="Y303">
        <f t="shared" si="31"/>
        <v>787</v>
      </c>
    </row>
    <row r="304" spans="1:25" ht="15.75" hidden="1" customHeight="1" x14ac:dyDescent="0.35">
      <c r="A304" s="3">
        <v>17198</v>
      </c>
      <c r="B304" s="3" t="s">
        <v>23</v>
      </c>
      <c r="C304" s="2">
        <v>46179</v>
      </c>
      <c r="D304" s="2">
        <v>46174</v>
      </c>
      <c r="E304" s="2">
        <v>46122</v>
      </c>
      <c r="F304" s="2">
        <v>46152</v>
      </c>
      <c r="G304" t="s">
        <v>399</v>
      </c>
      <c r="H304" t="s">
        <v>396</v>
      </c>
      <c r="I304" t="s">
        <v>29</v>
      </c>
      <c r="J304">
        <v>524</v>
      </c>
      <c r="K304">
        <v>535</v>
      </c>
      <c r="L304">
        <f t="shared" si="27"/>
        <v>11</v>
      </c>
      <c r="M304">
        <v>11</v>
      </c>
      <c r="N304">
        <f>IF(L304&lt;&gt;M304,1,0)</f>
        <v>0</v>
      </c>
      <c r="O304">
        <v>11</v>
      </c>
      <c r="S304">
        <v>3</v>
      </c>
      <c r="T304" s="3">
        <f t="shared" si="29"/>
        <v>14</v>
      </c>
      <c r="U304" s="3" t="str">
        <f t="shared" si="30"/>
        <v>USTED ESTÁ AL DÍA</v>
      </c>
      <c r="V304" s="3" t="s">
        <v>27</v>
      </c>
      <c r="Y304">
        <f t="shared" si="31"/>
        <v>14</v>
      </c>
    </row>
    <row r="305" spans="1:25" ht="15.75" hidden="1" customHeight="1" x14ac:dyDescent="0.35">
      <c r="A305" s="3">
        <v>17199</v>
      </c>
      <c r="B305" s="3" t="s">
        <v>23</v>
      </c>
      <c r="C305" s="2">
        <v>46179</v>
      </c>
      <c r="D305" s="2">
        <v>46174</v>
      </c>
      <c r="E305" s="2">
        <v>46122</v>
      </c>
      <c r="F305" s="2">
        <v>46152</v>
      </c>
      <c r="G305" t="s">
        <v>400</v>
      </c>
      <c r="H305" t="s">
        <v>396</v>
      </c>
      <c r="I305" t="s">
        <v>31</v>
      </c>
      <c r="J305">
        <v>0</v>
      </c>
      <c r="K305">
        <v>0</v>
      </c>
      <c r="L305">
        <f t="shared" si="27"/>
        <v>0</v>
      </c>
      <c r="M305">
        <v>5</v>
      </c>
      <c r="O305">
        <v>5</v>
      </c>
      <c r="P305">
        <v>15</v>
      </c>
      <c r="R305">
        <v>25</v>
      </c>
      <c r="S305">
        <v>3</v>
      </c>
      <c r="T305" s="3">
        <f t="shared" si="29"/>
        <v>48</v>
      </c>
      <c r="U305" s="3" t="str">
        <f t="shared" si="30"/>
        <v>USTED NO ESTÁ AL DÍA</v>
      </c>
      <c r="V305" s="3" t="s">
        <v>27</v>
      </c>
      <c r="Y305">
        <f t="shared" si="31"/>
        <v>48</v>
      </c>
    </row>
    <row r="306" spans="1:25" ht="15.75" hidden="1" customHeight="1" x14ac:dyDescent="0.35">
      <c r="A306" s="3">
        <v>17200</v>
      </c>
      <c r="B306" s="3" t="s">
        <v>23</v>
      </c>
      <c r="C306" s="2">
        <v>46179</v>
      </c>
      <c r="D306" s="2">
        <v>46174</v>
      </c>
      <c r="E306" s="2">
        <v>46122</v>
      </c>
      <c r="F306" s="2">
        <v>46152</v>
      </c>
      <c r="G306" t="s">
        <v>401</v>
      </c>
      <c r="H306" t="s">
        <v>396</v>
      </c>
      <c r="I306" t="s">
        <v>33</v>
      </c>
      <c r="J306">
        <v>19</v>
      </c>
      <c r="K306">
        <v>28</v>
      </c>
      <c r="L306">
        <f t="shared" si="27"/>
        <v>9</v>
      </c>
      <c r="M306">
        <v>9</v>
      </c>
      <c r="N306">
        <f>IF(L306&lt;&gt;M306,1,0)</f>
        <v>0</v>
      </c>
      <c r="O306">
        <v>9</v>
      </c>
      <c r="R306">
        <v>25</v>
      </c>
      <c r="S306">
        <v>3</v>
      </c>
      <c r="T306" s="3">
        <f t="shared" si="29"/>
        <v>37</v>
      </c>
      <c r="U306" s="3" t="str">
        <f t="shared" si="30"/>
        <v>USTED ESTÁ AL DÍA</v>
      </c>
      <c r="V306" s="3" t="s">
        <v>27</v>
      </c>
      <c r="X306">
        <v>50</v>
      </c>
      <c r="Y306">
        <f t="shared" si="31"/>
        <v>87</v>
      </c>
    </row>
    <row r="307" spans="1:25" ht="15.75" hidden="1" customHeight="1" x14ac:dyDescent="0.35">
      <c r="A307" s="3">
        <v>17201</v>
      </c>
      <c r="B307" s="3" t="s">
        <v>23</v>
      </c>
      <c r="C307" s="2">
        <v>46179</v>
      </c>
      <c r="D307" s="2">
        <v>46174</v>
      </c>
      <c r="E307" s="2">
        <v>46122</v>
      </c>
      <c r="F307" s="2">
        <v>46152</v>
      </c>
      <c r="G307" t="s">
        <v>402</v>
      </c>
      <c r="H307" t="s">
        <v>396</v>
      </c>
      <c r="I307" t="s">
        <v>35</v>
      </c>
      <c r="J307">
        <v>43</v>
      </c>
      <c r="K307">
        <v>71</v>
      </c>
      <c r="L307">
        <f t="shared" si="27"/>
        <v>28</v>
      </c>
      <c r="M307">
        <v>28</v>
      </c>
      <c r="N307">
        <f>IF(L307&lt;&gt;M307,1,0)</f>
        <v>0</v>
      </c>
      <c r="O307">
        <v>28</v>
      </c>
      <c r="R307">
        <v>25</v>
      </c>
      <c r="S307">
        <v>3</v>
      </c>
      <c r="T307" s="3">
        <f t="shared" si="29"/>
        <v>56</v>
      </c>
      <c r="U307" s="3" t="str">
        <f t="shared" si="30"/>
        <v>USTED ESTÁ AL DÍA</v>
      </c>
      <c r="V307" s="3" t="s">
        <v>27</v>
      </c>
      <c r="W307">
        <v>30</v>
      </c>
      <c r="Y307">
        <f t="shared" si="31"/>
        <v>86</v>
      </c>
    </row>
    <row r="308" spans="1:25" ht="15.75" hidden="1" customHeight="1" x14ac:dyDescent="0.35">
      <c r="A308" s="3">
        <v>17202</v>
      </c>
      <c r="B308" s="3" t="s">
        <v>23</v>
      </c>
      <c r="C308" s="2">
        <v>46179</v>
      </c>
      <c r="D308" s="2">
        <v>46174</v>
      </c>
      <c r="E308" s="2">
        <v>46122</v>
      </c>
      <c r="F308" s="2">
        <v>46152</v>
      </c>
      <c r="G308" t="s">
        <v>403</v>
      </c>
      <c r="H308" t="s">
        <v>396</v>
      </c>
      <c r="I308" t="s">
        <v>39</v>
      </c>
      <c r="J308">
        <v>52</v>
      </c>
      <c r="K308">
        <v>63</v>
      </c>
      <c r="L308">
        <f t="shared" si="27"/>
        <v>11</v>
      </c>
      <c r="M308">
        <v>11</v>
      </c>
      <c r="N308">
        <f>IF(L308&lt;&gt;M308,1,0)</f>
        <v>0</v>
      </c>
      <c r="O308">
        <v>11</v>
      </c>
      <c r="R308">
        <v>25</v>
      </c>
      <c r="S308">
        <v>3</v>
      </c>
      <c r="T308" s="3">
        <f t="shared" si="29"/>
        <v>39</v>
      </c>
      <c r="U308" s="3" t="str">
        <f t="shared" si="30"/>
        <v>USTED ESTÁ AL DÍA</v>
      </c>
      <c r="V308" s="3" t="s">
        <v>27</v>
      </c>
      <c r="W308">
        <v>30</v>
      </c>
      <c r="Y308">
        <f t="shared" si="31"/>
        <v>69</v>
      </c>
    </row>
    <row r="309" spans="1:25" ht="15.75" hidden="1" customHeight="1" x14ac:dyDescent="0.35">
      <c r="A309" s="3">
        <v>17203</v>
      </c>
      <c r="B309" s="3" t="s">
        <v>23</v>
      </c>
      <c r="C309" s="2">
        <v>46179</v>
      </c>
      <c r="D309" s="2">
        <v>46174</v>
      </c>
      <c r="E309" s="2">
        <v>46122</v>
      </c>
      <c r="F309" s="2">
        <v>46152</v>
      </c>
      <c r="G309" t="s">
        <v>404</v>
      </c>
      <c r="H309" t="s">
        <v>396</v>
      </c>
      <c r="I309" t="s">
        <v>41</v>
      </c>
      <c r="J309">
        <v>37</v>
      </c>
      <c r="K309">
        <v>48</v>
      </c>
      <c r="L309">
        <f t="shared" si="27"/>
        <v>11</v>
      </c>
      <c r="M309">
        <v>11</v>
      </c>
      <c r="N309">
        <f>IF(L309&lt;&gt;M309,1,0)</f>
        <v>0</v>
      </c>
      <c r="O309">
        <v>11</v>
      </c>
      <c r="R309">
        <v>25</v>
      </c>
      <c r="S309">
        <v>3</v>
      </c>
      <c r="T309" s="3">
        <f t="shared" si="29"/>
        <v>39</v>
      </c>
      <c r="U309" s="3" t="str">
        <f t="shared" si="30"/>
        <v>USTED ESTÁ AL DÍA</v>
      </c>
      <c r="V309" s="3" t="s">
        <v>27</v>
      </c>
      <c r="Y309">
        <f t="shared" si="31"/>
        <v>39</v>
      </c>
    </row>
    <row r="310" spans="1:25" ht="15.75" hidden="1" customHeight="1" x14ac:dyDescent="0.35">
      <c r="A310" s="3">
        <v>17204</v>
      </c>
      <c r="B310" s="3" t="s">
        <v>23</v>
      </c>
      <c r="C310" s="2">
        <v>46179</v>
      </c>
      <c r="D310" s="2">
        <v>46174</v>
      </c>
      <c r="E310" s="2">
        <v>46122</v>
      </c>
      <c r="F310" s="2">
        <v>46152</v>
      </c>
      <c r="G310" t="s">
        <v>405</v>
      </c>
      <c r="H310" t="s">
        <v>396</v>
      </c>
      <c r="I310" t="s">
        <v>43</v>
      </c>
      <c r="J310">
        <v>35</v>
      </c>
      <c r="K310">
        <v>49</v>
      </c>
      <c r="L310">
        <f t="shared" si="27"/>
        <v>14</v>
      </c>
      <c r="M310">
        <v>14</v>
      </c>
      <c r="N310">
        <f>IF(L310&lt;&gt;M310,1,0)</f>
        <v>0</v>
      </c>
      <c r="O310">
        <v>14</v>
      </c>
      <c r="R310">
        <v>25</v>
      </c>
      <c r="S310">
        <v>3</v>
      </c>
      <c r="T310" s="3">
        <f t="shared" si="29"/>
        <v>42</v>
      </c>
      <c r="U310" s="3" t="str">
        <f t="shared" si="30"/>
        <v>USTED ESTÁ AL DÍA</v>
      </c>
      <c r="V310" s="3" t="s">
        <v>27</v>
      </c>
      <c r="Y310">
        <f t="shared" si="31"/>
        <v>42</v>
      </c>
    </row>
    <row r="311" spans="1:25" ht="15.75" hidden="1" customHeight="1" x14ac:dyDescent="0.35">
      <c r="A311" s="3">
        <v>17205</v>
      </c>
      <c r="B311" s="3" t="s">
        <v>23</v>
      </c>
      <c r="C311" s="2">
        <v>46179</v>
      </c>
      <c r="D311" s="2">
        <v>46174</v>
      </c>
      <c r="E311" s="2">
        <v>46122</v>
      </c>
      <c r="F311" s="2">
        <v>46152</v>
      </c>
      <c r="G311" t="s">
        <v>406</v>
      </c>
      <c r="H311" t="s">
        <v>396</v>
      </c>
      <c r="I311" t="s">
        <v>45</v>
      </c>
      <c r="J311">
        <v>168</v>
      </c>
      <c r="K311">
        <v>172</v>
      </c>
      <c r="L311">
        <f t="shared" si="27"/>
        <v>4</v>
      </c>
      <c r="M311">
        <v>5</v>
      </c>
      <c r="O311">
        <v>5</v>
      </c>
      <c r="S311">
        <v>3</v>
      </c>
      <c r="T311" s="3">
        <f t="shared" si="29"/>
        <v>8</v>
      </c>
      <c r="U311" s="3" t="str">
        <f t="shared" si="30"/>
        <v>USTED ESTÁ AL DÍA</v>
      </c>
      <c r="V311" s="3" t="s">
        <v>27</v>
      </c>
      <c r="W311">
        <v>30</v>
      </c>
      <c r="Y311">
        <f t="shared" si="31"/>
        <v>38</v>
      </c>
    </row>
    <row r="312" spans="1:25" ht="15.75" hidden="1" customHeight="1" x14ac:dyDescent="0.35">
      <c r="A312" s="3">
        <v>17206</v>
      </c>
      <c r="B312" s="3" t="s">
        <v>23</v>
      </c>
      <c r="C312" s="2">
        <v>46179</v>
      </c>
      <c r="D312" s="2">
        <v>46174</v>
      </c>
      <c r="E312" s="2">
        <v>46122</v>
      </c>
      <c r="F312" s="2">
        <v>46152</v>
      </c>
      <c r="G312" t="s">
        <v>407</v>
      </c>
      <c r="H312" t="s">
        <v>396</v>
      </c>
      <c r="I312" t="s">
        <v>68</v>
      </c>
      <c r="J312">
        <v>1476</v>
      </c>
      <c r="K312">
        <v>1487</v>
      </c>
      <c r="L312">
        <f t="shared" si="27"/>
        <v>11</v>
      </c>
      <c r="M312">
        <v>11</v>
      </c>
      <c r="N312">
        <f>IF(L312&lt;&gt;M312,1,0)</f>
        <v>0</v>
      </c>
      <c r="O312">
        <v>11</v>
      </c>
      <c r="S312">
        <v>3</v>
      </c>
      <c r="T312" s="3">
        <f t="shared" si="29"/>
        <v>14</v>
      </c>
      <c r="U312" s="3" t="str">
        <f t="shared" si="30"/>
        <v>USTED ESTÁ AL DÍA</v>
      </c>
      <c r="V312" s="3" t="s">
        <v>27</v>
      </c>
      <c r="W312">
        <v>50</v>
      </c>
      <c r="X312">
        <v>75</v>
      </c>
      <c r="Y312">
        <f t="shared" si="31"/>
        <v>139</v>
      </c>
    </row>
    <row r="313" spans="1:25" ht="15.75" hidden="1" customHeight="1" x14ac:dyDescent="0.35">
      <c r="A313" s="3">
        <v>17207</v>
      </c>
      <c r="B313" s="3" t="s">
        <v>23</v>
      </c>
      <c r="C313" s="2">
        <v>46179</v>
      </c>
      <c r="D313" s="2">
        <v>46174</v>
      </c>
      <c r="E313" s="2">
        <v>46122</v>
      </c>
      <c r="F313" s="2">
        <v>46152</v>
      </c>
      <c r="G313" t="s">
        <v>408</v>
      </c>
      <c r="H313" t="s">
        <v>396</v>
      </c>
      <c r="I313" t="s">
        <v>47</v>
      </c>
      <c r="J313">
        <v>681</v>
      </c>
      <c r="K313">
        <v>686</v>
      </c>
      <c r="L313">
        <f t="shared" si="27"/>
        <v>5</v>
      </c>
      <c r="M313">
        <v>5</v>
      </c>
      <c r="O313">
        <v>5</v>
      </c>
      <c r="S313">
        <v>3</v>
      </c>
      <c r="T313" s="3">
        <f t="shared" si="29"/>
        <v>8</v>
      </c>
      <c r="U313" s="3" t="str">
        <f t="shared" si="30"/>
        <v>USTED ESTÁ AL DÍA</v>
      </c>
      <c r="V313" s="3" t="s">
        <v>27</v>
      </c>
      <c r="W313">
        <v>50</v>
      </c>
      <c r="X313">
        <v>75</v>
      </c>
      <c r="Y313">
        <f t="shared" si="31"/>
        <v>133</v>
      </c>
    </row>
    <row r="314" spans="1:25" ht="15.75" hidden="1" customHeight="1" x14ac:dyDescent="0.35">
      <c r="A314" s="3">
        <v>17208</v>
      </c>
      <c r="B314" s="3" t="s">
        <v>23</v>
      </c>
      <c r="C314" s="2">
        <v>46179</v>
      </c>
      <c r="D314" s="2">
        <v>46174</v>
      </c>
      <c r="E314" s="2">
        <v>46122</v>
      </c>
      <c r="F314" s="2">
        <v>46152</v>
      </c>
      <c r="G314" t="s">
        <v>409</v>
      </c>
      <c r="H314" t="s">
        <v>396</v>
      </c>
      <c r="I314" t="s">
        <v>66</v>
      </c>
      <c r="L314">
        <f t="shared" si="27"/>
        <v>0</v>
      </c>
      <c r="S314">
        <v>0</v>
      </c>
      <c r="T314" s="3">
        <f t="shared" si="29"/>
        <v>0</v>
      </c>
      <c r="U314" s="3" t="str">
        <f t="shared" si="30"/>
        <v>USTED ESTÁ AL DÍA</v>
      </c>
      <c r="V314" s="3" t="s">
        <v>27</v>
      </c>
      <c r="W314">
        <v>50</v>
      </c>
      <c r="X314">
        <v>75</v>
      </c>
      <c r="Y314">
        <f t="shared" si="31"/>
        <v>125</v>
      </c>
    </row>
    <row r="315" spans="1:25" ht="15.75" hidden="1" customHeight="1" x14ac:dyDescent="0.35">
      <c r="A315" s="3">
        <v>17209</v>
      </c>
      <c r="B315" s="3" t="s">
        <v>23</v>
      </c>
      <c r="C315" s="2">
        <v>46179</v>
      </c>
      <c r="D315" s="2">
        <v>46174</v>
      </c>
      <c r="E315" s="2">
        <v>46122</v>
      </c>
      <c r="F315" s="2">
        <v>46152</v>
      </c>
      <c r="G315" t="s">
        <v>410</v>
      </c>
      <c r="H315" t="s">
        <v>411</v>
      </c>
      <c r="I315" t="s">
        <v>29</v>
      </c>
      <c r="J315">
        <v>16</v>
      </c>
      <c r="K315">
        <v>29</v>
      </c>
      <c r="L315">
        <f t="shared" si="27"/>
        <v>13</v>
      </c>
      <c r="M315">
        <v>13</v>
      </c>
      <c r="N315">
        <f>IF(L315&lt;&gt;M315,1,0)</f>
        <v>0</v>
      </c>
      <c r="O315">
        <v>13</v>
      </c>
      <c r="P315">
        <v>12</v>
      </c>
      <c r="R315">
        <v>25</v>
      </c>
      <c r="S315">
        <v>3</v>
      </c>
      <c r="T315" s="3">
        <f t="shared" si="29"/>
        <v>53</v>
      </c>
      <c r="U315" s="3" t="str">
        <f t="shared" si="30"/>
        <v>USTED NO ESTÁ AL DÍA</v>
      </c>
      <c r="V315" s="3" t="s">
        <v>27</v>
      </c>
      <c r="Y315">
        <f t="shared" si="31"/>
        <v>53</v>
      </c>
    </row>
    <row r="316" spans="1:25" ht="15.75" hidden="1" customHeight="1" x14ac:dyDescent="0.35">
      <c r="A316" s="3">
        <v>17210</v>
      </c>
      <c r="B316" s="3" t="s">
        <v>23</v>
      </c>
      <c r="C316" s="2">
        <v>46179</v>
      </c>
      <c r="D316" s="2">
        <v>46174</v>
      </c>
      <c r="E316" s="2">
        <v>46122</v>
      </c>
      <c r="F316" s="2">
        <v>46152</v>
      </c>
      <c r="G316" t="s">
        <v>412</v>
      </c>
      <c r="H316" t="s">
        <v>411</v>
      </c>
      <c r="I316" t="s">
        <v>66</v>
      </c>
      <c r="J316">
        <v>924</v>
      </c>
      <c r="K316">
        <v>1005</v>
      </c>
      <c r="L316">
        <f t="shared" si="27"/>
        <v>81</v>
      </c>
      <c r="M316">
        <v>81</v>
      </c>
      <c r="N316">
        <f>IF(L316&lt;&gt;M316,1,0)</f>
        <v>0</v>
      </c>
      <c r="O316">
        <v>81</v>
      </c>
      <c r="P316">
        <v>93</v>
      </c>
      <c r="S316">
        <v>3</v>
      </c>
      <c r="T316" s="3">
        <f t="shared" si="29"/>
        <v>177</v>
      </c>
      <c r="U316" s="3" t="str">
        <f t="shared" si="30"/>
        <v>USTED NO ESTÁ AL DÍA</v>
      </c>
      <c r="V316" s="3" t="s">
        <v>27</v>
      </c>
      <c r="W316">
        <v>30</v>
      </c>
      <c r="X316">
        <v>30</v>
      </c>
      <c r="Y316">
        <f t="shared" si="31"/>
        <v>237</v>
      </c>
    </row>
    <row r="317" spans="1:25" ht="15.75" hidden="1" customHeight="1" x14ac:dyDescent="0.35">
      <c r="A317" s="3">
        <v>17211</v>
      </c>
      <c r="B317" s="3" t="s">
        <v>23</v>
      </c>
      <c r="C317" s="2">
        <v>46179</v>
      </c>
      <c r="D317" s="2">
        <v>46174</v>
      </c>
      <c r="E317" s="2">
        <v>46122</v>
      </c>
      <c r="F317" s="2">
        <v>46152</v>
      </c>
      <c r="G317" t="s">
        <v>413</v>
      </c>
      <c r="H317" t="s">
        <v>411</v>
      </c>
      <c r="I317" t="s">
        <v>26</v>
      </c>
      <c r="J317">
        <v>26</v>
      </c>
      <c r="K317">
        <v>44</v>
      </c>
      <c r="L317">
        <f t="shared" si="27"/>
        <v>18</v>
      </c>
      <c r="M317">
        <v>18</v>
      </c>
      <c r="N317">
        <f>IF(L317&lt;&gt;M317,1,0)</f>
        <v>0</v>
      </c>
      <c r="O317">
        <v>18</v>
      </c>
      <c r="R317">
        <v>25</v>
      </c>
      <c r="S317">
        <v>3</v>
      </c>
      <c r="T317" s="3">
        <f t="shared" si="29"/>
        <v>46</v>
      </c>
      <c r="U317" s="3" t="str">
        <f t="shared" si="30"/>
        <v>USTED ESTÁ AL DÍA</v>
      </c>
      <c r="V317" s="3" t="s">
        <v>27</v>
      </c>
      <c r="Y317">
        <f t="shared" si="31"/>
        <v>46</v>
      </c>
    </row>
    <row r="318" spans="1:25" ht="15.75" hidden="1" customHeight="1" x14ac:dyDescent="0.35">
      <c r="A318" s="3">
        <v>17212</v>
      </c>
      <c r="B318" s="3" t="s">
        <v>23</v>
      </c>
      <c r="C318" s="2">
        <v>46179</v>
      </c>
      <c r="D318" s="2">
        <v>46174</v>
      </c>
      <c r="E318" s="2">
        <v>46122</v>
      </c>
      <c r="F318" s="2">
        <v>46152</v>
      </c>
      <c r="G318" t="s">
        <v>414</v>
      </c>
      <c r="H318" t="s">
        <v>411</v>
      </c>
      <c r="I318" t="s">
        <v>31</v>
      </c>
      <c r="J318">
        <v>125</v>
      </c>
      <c r="K318">
        <v>127</v>
      </c>
      <c r="L318">
        <f t="shared" si="27"/>
        <v>2</v>
      </c>
      <c r="M318">
        <v>5</v>
      </c>
      <c r="O318">
        <v>5</v>
      </c>
      <c r="S318">
        <v>3</v>
      </c>
      <c r="T318" s="3">
        <f t="shared" si="29"/>
        <v>8</v>
      </c>
      <c r="U318" s="3" t="str">
        <f t="shared" si="30"/>
        <v>USTED ESTÁ AL DÍA</v>
      </c>
      <c r="V318" s="3" t="s">
        <v>27</v>
      </c>
      <c r="W318">
        <v>30</v>
      </c>
      <c r="Y318">
        <f t="shared" si="31"/>
        <v>38</v>
      </c>
    </row>
    <row r="319" spans="1:25" ht="15.75" hidden="1" customHeight="1" x14ac:dyDescent="0.35">
      <c r="A319" s="3">
        <v>17213</v>
      </c>
      <c r="B319" s="3" t="s">
        <v>23</v>
      </c>
      <c r="C319" s="2">
        <v>46179</v>
      </c>
      <c r="D319" s="2">
        <v>46174</v>
      </c>
      <c r="E319" s="2">
        <v>46122</v>
      </c>
      <c r="F319" s="2">
        <v>46152</v>
      </c>
      <c r="G319" t="s">
        <v>415</v>
      </c>
      <c r="H319" t="s">
        <v>411</v>
      </c>
      <c r="I319" t="s">
        <v>33</v>
      </c>
      <c r="J319">
        <v>59</v>
      </c>
      <c r="K319">
        <v>84</v>
      </c>
      <c r="L319">
        <f t="shared" si="27"/>
        <v>25</v>
      </c>
      <c r="M319">
        <v>25</v>
      </c>
      <c r="N319">
        <f>IF(L319&lt;&gt;M319,1,0)</f>
        <v>0</v>
      </c>
      <c r="O319">
        <v>25</v>
      </c>
      <c r="R319">
        <v>25</v>
      </c>
      <c r="S319">
        <v>3</v>
      </c>
      <c r="T319" s="3">
        <f t="shared" si="29"/>
        <v>53</v>
      </c>
      <c r="U319" s="3" t="str">
        <f t="shared" si="30"/>
        <v>USTED ESTÁ AL DÍA</v>
      </c>
      <c r="V319" s="3" t="s">
        <v>27</v>
      </c>
      <c r="W319">
        <v>30</v>
      </c>
      <c r="Y319">
        <f t="shared" si="31"/>
        <v>83</v>
      </c>
    </row>
    <row r="320" spans="1:25" ht="15.75" hidden="1" customHeight="1" x14ac:dyDescent="0.35">
      <c r="A320" s="3">
        <v>17214</v>
      </c>
      <c r="B320" s="3" t="s">
        <v>23</v>
      </c>
      <c r="C320" s="2">
        <v>46179</v>
      </c>
      <c r="D320" s="2">
        <v>46174</v>
      </c>
      <c r="E320" s="2">
        <v>46122</v>
      </c>
      <c r="F320" s="2">
        <v>46152</v>
      </c>
      <c r="G320" t="s">
        <v>416</v>
      </c>
      <c r="H320" t="s">
        <v>411</v>
      </c>
      <c r="I320" t="s">
        <v>37</v>
      </c>
      <c r="J320">
        <v>94</v>
      </c>
      <c r="K320">
        <v>138</v>
      </c>
      <c r="L320">
        <f t="shared" si="27"/>
        <v>44</v>
      </c>
      <c r="M320">
        <v>44</v>
      </c>
      <c r="N320">
        <f>IF(L320&lt;&gt;M320,1,0)</f>
        <v>0</v>
      </c>
      <c r="O320">
        <v>44</v>
      </c>
      <c r="R320">
        <v>25</v>
      </c>
      <c r="S320">
        <v>3</v>
      </c>
      <c r="T320" s="3">
        <f t="shared" si="29"/>
        <v>72</v>
      </c>
      <c r="U320" s="3" t="str">
        <f t="shared" si="30"/>
        <v>USTED ESTÁ AL DÍA</v>
      </c>
      <c r="V320" s="3" t="s">
        <v>27</v>
      </c>
      <c r="Y320">
        <f t="shared" si="31"/>
        <v>72</v>
      </c>
    </row>
    <row r="321" spans="1:25" ht="15.75" hidden="1" customHeight="1" x14ac:dyDescent="0.35">
      <c r="A321" s="3">
        <v>17215</v>
      </c>
      <c r="B321" s="3" t="s">
        <v>23</v>
      </c>
      <c r="C321" s="2">
        <v>46179</v>
      </c>
      <c r="D321" s="2">
        <v>46174</v>
      </c>
      <c r="E321" s="2">
        <v>46122</v>
      </c>
      <c r="F321" s="2">
        <v>46152</v>
      </c>
      <c r="G321" t="s">
        <v>417</v>
      </c>
      <c r="H321" t="s">
        <v>411</v>
      </c>
      <c r="I321" t="s">
        <v>39</v>
      </c>
      <c r="J321">
        <v>242</v>
      </c>
      <c r="K321">
        <v>258</v>
      </c>
      <c r="L321">
        <f t="shared" si="27"/>
        <v>16</v>
      </c>
      <c r="M321">
        <v>16</v>
      </c>
      <c r="N321">
        <f>IF(L321&lt;&gt;M321,1,0)</f>
        <v>0</v>
      </c>
      <c r="O321">
        <v>16</v>
      </c>
      <c r="S321">
        <v>3</v>
      </c>
      <c r="T321" s="3">
        <f t="shared" si="29"/>
        <v>19</v>
      </c>
      <c r="U321" s="3" t="str">
        <f t="shared" si="30"/>
        <v>USTED ESTÁ AL DÍA</v>
      </c>
      <c r="V321" s="3" t="s">
        <v>27</v>
      </c>
      <c r="W321">
        <v>30</v>
      </c>
      <c r="Y321">
        <f t="shared" si="31"/>
        <v>49</v>
      </c>
    </row>
    <row r="322" spans="1:25" ht="15.75" hidden="1" customHeight="1" x14ac:dyDescent="0.35">
      <c r="A322" s="3">
        <v>17216</v>
      </c>
      <c r="B322" s="3" t="s">
        <v>23</v>
      </c>
      <c r="C322" s="2">
        <v>46179</v>
      </c>
      <c r="D322" s="2">
        <v>46174</v>
      </c>
      <c r="E322" s="2">
        <v>46122</v>
      </c>
      <c r="F322" s="2">
        <v>46152</v>
      </c>
      <c r="G322" t="s">
        <v>418</v>
      </c>
      <c r="H322" t="s">
        <v>411</v>
      </c>
      <c r="I322" t="s">
        <v>41</v>
      </c>
      <c r="J322">
        <v>0</v>
      </c>
      <c r="K322">
        <v>8</v>
      </c>
      <c r="L322">
        <f t="shared" ref="L322:L385" si="32">K322-J322</f>
        <v>8</v>
      </c>
      <c r="M322">
        <v>8</v>
      </c>
      <c r="N322">
        <f>IF(L322&lt;&gt;M322,1,0)</f>
        <v>0</v>
      </c>
      <c r="O322">
        <v>8</v>
      </c>
      <c r="S322">
        <v>3</v>
      </c>
      <c r="T322" s="3">
        <f t="shared" ref="T322:T385" si="33">SUM(O322:S322)</f>
        <v>11</v>
      </c>
      <c r="U322" s="3" t="str">
        <f t="shared" ref="U322:U385" si="34">IF(P322&lt;8,"USTED ESTÁ AL DÍA","USTED NO ESTÁ AL DÍA")</f>
        <v>USTED ESTÁ AL DÍA</v>
      </c>
      <c r="V322" s="3" t="s">
        <v>27</v>
      </c>
      <c r="W322">
        <v>30</v>
      </c>
      <c r="X322">
        <v>50</v>
      </c>
      <c r="Y322">
        <f t="shared" ref="Y322:Y385" si="35">T322+W322+X322</f>
        <v>91</v>
      </c>
    </row>
    <row r="323" spans="1:25" ht="15.75" hidden="1" customHeight="1" x14ac:dyDescent="0.35">
      <c r="A323" s="3">
        <v>17217</v>
      </c>
      <c r="B323" s="3" t="s">
        <v>23</v>
      </c>
      <c r="C323" s="2">
        <v>46179</v>
      </c>
      <c r="D323" s="2">
        <v>46174</v>
      </c>
      <c r="E323" s="2">
        <v>46122</v>
      </c>
      <c r="F323" s="2">
        <v>46152</v>
      </c>
      <c r="G323" t="s">
        <v>419</v>
      </c>
      <c r="H323" t="s">
        <v>411</v>
      </c>
      <c r="I323" t="s">
        <v>43</v>
      </c>
      <c r="J323">
        <v>4</v>
      </c>
      <c r="K323">
        <v>8</v>
      </c>
      <c r="L323">
        <f t="shared" si="32"/>
        <v>4</v>
      </c>
      <c r="M323">
        <v>5</v>
      </c>
      <c r="O323">
        <v>5</v>
      </c>
      <c r="R323">
        <v>25</v>
      </c>
      <c r="S323">
        <v>3</v>
      </c>
      <c r="T323" s="3">
        <f t="shared" si="33"/>
        <v>33</v>
      </c>
      <c r="U323" s="3" t="str">
        <f t="shared" si="34"/>
        <v>USTED ESTÁ AL DÍA</v>
      </c>
      <c r="V323" s="3" t="s">
        <v>27</v>
      </c>
      <c r="W323">
        <v>30</v>
      </c>
      <c r="Y323">
        <f t="shared" si="35"/>
        <v>63</v>
      </c>
    </row>
    <row r="324" spans="1:25" ht="15.75" hidden="1" customHeight="1" x14ac:dyDescent="0.35">
      <c r="A324" s="3">
        <v>17218</v>
      </c>
      <c r="B324" s="3" t="s">
        <v>23</v>
      </c>
      <c r="C324" s="2">
        <v>46179</v>
      </c>
      <c r="D324" s="2">
        <v>46174</v>
      </c>
      <c r="E324" s="2">
        <v>46122</v>
      </c>
      <c r="F324" s="2">
        <v>46152</v>
      </c>
      <c r="G324" t="s">
        <v>420</v>
      </c>
      <c r="H324" t="s">
        <v>411</v>
      </c>
      <c r="I324" t="s">
        <v>45</v>
      </c>
      <c r="J324">
        <v>89</v>
      </c>
      <c r="K324">
        <v>94</v>
      </c>
      <c r="L324">
        <f t="shared" si="32"/>
        <v>5</v>
      </c>
      <c r="M324">
        <v>5</v>
      </c>
      <c r="O324">
        <v>5</v>
      </c>
      <c r="S324">
        <v>3</v>
      </c>
      <c r="T324" s="3">
        <f t="shared" si="33"/>
        <v>8</v>
      </c>
      <c r="U324" s="3" t="str">
        <f t="shared" si="34"/>
        <v>USTED ESTÁ AL DÍA</v>
      </c>
      <c r="V324" s="3" t="s">
        <v>27</v>
      </c>
      <c r="Y324">
        <f t="shared" si="35"/>
        <v>8</v>
      </c>
    </row>
    <row r="325" spans="1:25" ht="15.75" hidden="1" customHeight="1" x14ac:dyDescent="0.35">
      <c r="A325" s="3">
        <v>17219</v>
      </c>
      <c r="B325" s="3" t="s">
        <v>23</v>
      </c>
      <c r="C325" s="2">
        <v>46179</v>
      </c>
      <c r="D325" s="2">
        <v>46174</v>
      </c>
      <c r="E325" s="2">
        <v>46122</v>
      </c>
      <c r="F325" s="2">
        <v>46152</v>
      </c>
      <c r="G325" t="s">
        <v>421</v>
      </c>
      <c r="H325" t="s">
        <v>411</v>
      </c>
      <c r="I325" t="s">
        <v>47</v>
      </c>
      <c r="J325">
        <v>1069</v>
      </c>
      <c r="K325">
        <v>1086</v>
      </c>
      <c r="L325">
        <f t="shared" si="32"/>
        <v>17</v>
      </c>
      <c r="M325">
        <v>17</v>
      </c>
      <c r="N325">
        <f>IF(L325&lt;&gt;M325,1,0)</f>
        <v>0</v>
      </c>
      <c r="O325">
        <v>17</v>
      </c>
      <c r="S325">
        <v>3</v>
      </c>
      <c r="T325" s="3">
        <f t="shared" si="33"/>
        <v>20</v>
      </c>
      <c r="U325" s="3" t="str">
        <f t="shared" si="34"/>
        <v>USTED ESTÁ AL DÍA</v>
      </c>
      <c r="V325" s="3" t="s">
        <v>27</v>
      </c>
      <c r="Y325">
        <f t="shared" si="35"/>
        <v>20</v>
      </c>
    </row>
    <row r="326" spans="1:25" ht="15.75" hidden="1" customHeight="1" x14ac:dyDescent="0.35">
      <c r="A326" s="3">
        <v>17220</v>
      </c>
      <c r="B326" s="3" t="s">
        <v>23</v>
      </c>
      <c r="C326" s="2">
        <v>46179</v>
      </c>
      <c r="D326" s="2">
        <v>46174</v>
      </c>
      <c r="E326" s="2">
        <v>46122</v>
      </c>
      <c r="F326" s="2">
        <v>46152</v>
      </c>
      <c r="G326" t="s">
        <v>422</v>
      </c>
      <c r="H326" t="s">
        <v>411</v>
      </c>
      <c r="I326" t="s">
        <v>68</v>
      </c>
      <c r="J326">
        <v>1320</v>
      </c>
      <c r="K326">
        <v>1326</v>
      </c>
      <c r="L326">
        <f t="shared" si="32"/>
        <v>6</v>
      </c>
      <c r="M326">
        <v>6</v>
      </c>
      <c r="N326">
        <f>IF(L326&lt;&gt;M326,1,0)</f>
        <v>0</v>
      </c>
      <c r="O326">
        <v>6</v>
      </c>
      <c r="S326">
        <v>3</v>
      </c>
      <c r="T326" s="3">
        <f t="shared" si="33"/>
        <v>9</v>
      </c>
      <c r="U326" s="3" t="str">
        <f t="shared" si="34"/>
        <v>USTED ESTÁ AL DÍA</v>
      </c>
      <c r="V326" s="3" t="s">
        <v>27</v>
      </c>
      <c r="W326">
        <v>30</v>
      </c>
      <c r="X326">
        <v>50</v>
      </c>
      <c r="Y326">
        <f t="shared" si="35"/>
        <v>89</v>
      </c>
    </row>
    <row r="327" spans="1:25" ht="15.75" hidden="1" customHeight="1" x14ac:dyDescent="0.35">
      <c r="A327" s="3">
        <v>17221</v>
      </c>
      <c r="B327" s="3" t="s">
        <v>23</v>
      </c>
      <c r="C327" s="2">
        <v>46179</v>
      </c>
      <c r="D327" s="2">
        <v>46174</v>
      </c>
      <c r="E327" s="2">
        <v>46122</v>
      </c>
      <c r="F327" s="2">
        <v>46152</v>
      </c>
      <c r="G327" t="s">
        <v>423</v>
      </c>
      <c r="H327" t="s">
        <v>411</v>
      </c>
      <c r="I327" t="s">
        <v>97</v>
      </c>
      <c r="J327">
        <v>312</v>
      </c>
      <c r="K327">
        <v>325</v>
      </c>
      <c r="L327">
        <f t="shared" si="32"/>
        <v>13</v>
      </c>
      <c r="M327">
        <v>13</v>
      </c>
      <c r="N327">
        <f>IF(L327&lt;&gt;M327,1,0)</f>
        <v>0</v>
      </c>
      <c r="O327">
        <v>13</v>
      </c>
      <c r="S327">
        <v>3</v>
      </c>
      <c r="T327" s="3">
        <f t="shared" si="33"/>
        <v>16</v>
      </c>
      <c r="U327" s="3" t="str">
        <f t="shared" si="34"/>
        <v>USTED ESTÁ AL DÍA</v>
      </c>
      <c r="V327" s="3" t="s">
        <v>27</v>
      </c>
      <c r="Y327">
        <f t="shared" si="35"/>
        <v>16</v>
      </c>
    </row>
    <row r="328" spans="1:25" ht="15.75" hidden="1" customHeight="1" x14ac:dyDescent="0.35">
      <c r="A328" s="3">
        <v>17222</v>
      </c>
      <c r="B328" s="3" t="s">
        <v>23</v>
      </c>
      <c r="C328" s="2">
        <v>46179</v>
      </c>
      <c r="D328" s="2">
        <v>46174</v>
      </c>
      <c r="E328" s="2">
        <v>46122</v>
      </c>
      <c r="F328" s="2">
        <v>46152</v>
      </c>
      <c r="G328" t="s">
        <v>424</v>
      </c>
      <c r="H328" t="s">
        <v>411</v>
      </c>
      <c r="I328" t="s">
        <v>101</v>
      </c>
      <c r="J328">
        <v>502</v>
      </c>
      <c r="K328">
        <v>542</v>
      </c>
      <c r="L328">
        <f t="shared" si="32"/>
        <v>40</v>
      </c>
      <c r="M328">
        <v>40</v>
      </c>
      <c r="N328">
        <f>IF(L328&lt;&gt;M328,1,0)</f>
        <v>0</v>
      </c>
      <c r="O328">
        <v>40</v>
      </c>
      <c r="P328">
        <v>2</v>
      </c>
      <c r="S328">
        <v>3</v>
      </c>
      <c r="T328" s="3">
        <f t="shared" si="33"/>
        <v>45</v>
      </c>
      <c r="U328" s="3" t="str">
        <f t="shared" si="34"/>
        <v>USTED ESTÁ AL DÍA</v>
      </c>
      <c r="V328" s="3" t="s">
        <v>27</v>
      </c>
      <c r="W328">
        <v>30</v>
      </c>
      <c r="X328">
        <v>75</v>
      </c>
      <c r="Y328">
        <f t="shared" si="35"/>
        <v>150</v>
      </c>
    </row>
    <row r="329" spans="1:25" ht="15.75" hidden="1" customHeight="1" x14ac:dyDescent="0.35">
      <c r="A329" s="3">
        <v>17223</v>
      </c>
      <c r="B329" s="3" t="s">
        <v>23</v>
      </c>
      <c r="C329" s="2">
        <v>46179</v>
      </c>
      <c r="D329" s="2">
        <v>46174</v>
      </c>
      <c r="E329" s="2">
        <v>46122</v>
      </c>
      <c r="F329" s="2">
        <v>46152</v>
      </c>
      <c r="G329" t="s">
        <v>425</v>
      </c>
      <c r="H329" t="s">
        <v>411</v>
      </c>
      <c r="I329" t="s">
        <v>93</v>
      </c>
      <c r="J329">
        <v>41</v>
      </c>
      <c r="K329">
        <v>54</v>
      </c>
      <c r="L329">
        <f t="shared" si="32"/>
        <v>13</v>
      </c>
      <c r="M329">
        <v>13</v>
      </c>
      <c r="N329">
        <f>IF(L329&lt;&gt;M329,1,0)</f>
        <v>0</v>
      </c>
      <c r="O329">
        <v>13</v>
      </c>
      <c r="R329">
        <v>25</v>
      </c>
      <c r="S329">
        <v>3</v>
      </c>
      <c r="T329" s="3">
        <f t="shared" si="33"/>
        <v>41</v>
      </c>
      <c r="U329" s="3" t="str">
        <f t="shared" si="34"/>
        <v>USTED ESTÁ AL DÍA</v>
      </c>
      <c r="V329" s="3" t="s">
        <v>27</v>
      </c>
      <c r="Y329">
        <f t="shared" si="35"/>
        <v>41</v>
      </c>
    </row>
    <row r="330" spans="1:25" ht="15.75" hidden="1" customHeight="1" x14ac:dyDescent="0.35">
      <c r="A330" s="3">
        <v>17224</v>
      </c>
      <c r="B330" s="3" t="s">
        <v>23</v>
      </c>
      <c r="C330" s="2">
        <v>46179</v>
      </c>
      <c r="D330" s="2">
        <v>46174</v>
      </c>
      <c r="E330" s="2">
        <v>46122</v>
      </c>
      <c r="F330" s="2">
        <v>46152</v>
      </c>
      <c r="G330" t="s">
        <v>426</v>
      </c>
      <c r="H330" t="s">
        <v>411</v>
      </c>
      <c r="I330" t="s">
        <v>35</v>
      </c>
      <c r="L330">
        <f t="shared" si="32"/>
        <v>0</v>
      </c>
      <c r="S330">
        <v>0</v>
      </c>
      <c r="T330" s="3">
        <f t="shared" si="33"/>
        <v>0</v>
      </c>
      <c r="U330" s="3" t="str">
        <f t="shared" si="34"/>
        <v>USTED ESTÁ AL DÍA</v>
      </c>
      <c r="V330" s="3" t="s">
        <v>27</v>
      </c>
      <c r="W330">
        <v>50</v>
      </c>
      <c r="Y330">
        <f t="shared" si="35"/>
        <v>50</v>
      </c>
    </row>
    <row r="331" spans="1:25" ht="15.75" hidden="1" customHeight="1" x14ac:dyDescent="0.35">
      <c r="A331" s="3">
        <v>17225</v>
      </c>
      <c r="B331" s="3" t="s">
        <v>23</v>
      </c>
      <c r="C331" s="2">
        <v>46179</v>
      </c>
      <c r="D331" s="2">
        <v>46174</v>
      </c>
      <c r="E331" s="2">
        <v>46122</v>
      </c>
      <c r="F331" s="2">
        <v>46152</v>
      </c>
      <c r="G331" t="s">
        <v>427</v>
      </c>
      <c r="H331" t="s">
        <v>411</v>
      </c>
      <c r="I331" t="s">
        <v>79</v>
      </c>
      <c r="L331">
        <f t="shared" si="32"/>
        <v>0</v>
      </c>
      <c r="S331">
        <v>0</v>
      </c>
      <c r="T331" s="3">
        <f t="shared" si="33"/>
        <v>0</v>
      </c>
      <c r="U331" s="3" t="str">
        <f t="shared" si="34"/>
        <v>USTED ESTÁ AL DÍA</v>
      </c>
      <c r="V331" s="3" t="s">
        <v>27</v>
      </c>
      <c r="W331">
        <v>50</v>
      </c>
      <c r="Y331">
        <f t="shared" si="35"/>
        <v>50</v>
      </c>
    </row>
    <row r="332" spans="1:25" ht="15.75" hidden="1" customHeight="1" x14ac:dyDescent="0.35">
      <c r="A332" s="3">
        <v>17226</v>
      </c>
      <c r="B332" s="3" t="s">
        <v>23</v>
      </c>
      <c r="C332" s="2">
        <v>46179</v>
      </c>
      <c r="D332" s="2">
        <v>46174</v>
      </c>
      <c r="E332" s="2">
        <v>46122</v>
      </c>
      <c r="F332" s="2">
        <v>46152</v>
      </c>
      <c r="G332" t="s">
        <v>428</v>
      </c>
      <c r="H332" t="s">
        <v>411</v>
      </c>
      <c r="I332" t="s">
        <v>95</v>
      </c>
      <c r="L332">
        <f t="shared" si="32"/>
        <v>0</v>
      </c>
      <c r="S332">
        <v>0</v>
      </c>
      <c r="T332" s="3">
        <f t="shared" si="33"/>
        <v>0</v>
      </c>
      <c r="U332" s="3" t="str">
        <f t="shared" si="34"/>
        <v>USTED ESTÁ AL DÍA</v>
      </c>
      <c r="V332" s="3" t="s">
        <v>27</v>
      </c>
      <c r="W332">
        <v>50</v>
      </c>
      <c r="Y332">
        <f t="shared" si="35"/>
        <v>50</v>
      </c>
    </row>
    <row r="333" spans="1:25" ht="15.75" hidden="1" customHeight="1" x14ac:dyDescent="0.35">
      <c r="A333" s="3">
        <v>17227</v>
      </c>
      <c r="B333" s="3" t="s">
        <v>23</v>
      </c>
      <c r="C333" s="2">
        <v>46179</v>
      </c>
      <c r="D333" s="2">
        <v>46174</v>
      </c>
      <c r="E333" s="2">
        <v>46122</v>
      </c>
      <c r="F333" s="2">
        <v>46152</v>
      </c>
      <c r="G333" t="s">
        <v>429</v>
      </c>
      <c r="H333" t="s">
        <v>430</v>
      </c>
      <c r="I333" t="s">
        <v>31</v>
      </c>
      <c r="J333">
        <v>66</v>
      </c>
      <c r="K333">
        <v>88</v>
      </c>
      <c r="L333">
        <f t="shared" si="32"/>
        <v>22</v>
      </c>
      <c r="M333">
        <v>22</v>
      </c>
      <c r="N333">
        <f>IF(L333&lt;&gt;M333,1,0)</f>
        <v>0</v>
      </c>
      <c r="O333">
        <v>22</v>
      </c>
      <c r="P333">
        <v>19</v>
      </c>
      <c r="R333">
        <v>25</v>
      </c>
      <c r="S333">
        <v>3</v>
      </c>
      <c r="T333" s="3">
        <f t="shared" si="33"/>
        <v>69</v>
      </c>
      <c r="U333" s="3" t="str">
        <f t="shared" si="34"/>
        <v>USTED NO ESTÁ AL DÍA</v>
      </c>
      <c r="V333" s="3" t="s">
        <v>27</v>
      </c>
      <c r="Y333">
        <f t="shared" si="35"/>
        <v>69</v>
      </c>
    </row>
    <row r="334" spans="1:25" ht="15.75" hidden="1" customHeight="1" x14ac:dyDescent="0.35">
      <c r="A334" s="3">
        <v>17228</v>
      </c>
      <c r="B334" s="3" t="s">
        <v>23</v>
      </c>
      <c r="C334" s="2">
        <v>46179</v>
      </c>
      <c r="D334" s="2">
        <v>46174</v>
      </c>
      <c r="E334" s="2">
        <v>46122</v>
      </c>
      <c r="F334" s="2">
        <v>46152</v>
      </c>
      <c r="G334" t="s">
        <v>431</v>
      </c>
      <c r="H334" t="s">
        <v>430</v>
      </c>
      <c r="I334" t="s">
        <v>35</v>
      </c>
      <c r="J334">
        <v>11</v>
      </c>
      <c r="K334">
        <v>13</v>
      </c>
      <c r="L334">
        <f t="shared" si="32"/>
        <v>2</v>
      </c>
      <c r="M334">
        <v>5</v>
      </c>
      <c r="O334">
        <v>5</v>
      </c>
      <c r="P334">
        <v>8</v>
      </c>
      <c r="S334">
        <v>3</v>
      </c>
      <c r="T334" s="3">
        <f t="shared" si="33"/>
        <v>16</v>
      </c>
      <c r="U334" s="3" t="str">
        <f t="shared" si="34"/>
        <v>USTED NO ESTÁ AL DÍA</v>
      </c>
      <c r="V334" s="3" t="s">
        <v>27</v>
      </c>
      <c r="W334">
        <v>50</v>
      </c>
      <c r="X334">
        <v>50</v>
      </c>
      <c r="Y334">
        <f t="shared" si="35"/>
        <v>116</v>
      </c>
    </row>
    <row r="335" spans="1:25" ht="15.75" hidden="1" customHeight="1" x14ac:dyDescent="0.35">
      <c r="A335" s="3">
        <v>17229</v>
      </c>
      <c r="B335" s="3" t="s">
        <v>23</v>
      </c>
      <c r="C335" s="2">
        <v>46179</v>
      </c>
      <c r="D335" s="2">
        <v>46174</v>
      </c>
      <c r="E335" s="2">
        <v>46122</v>
      </c>
      <c r="F335" s="2">
        <v>46152</v>
      </c>
      <c r="G335" t="s">
        <v>432</v>
      </c>
      <c r="H335" t="s">
        <v>430</v>
      </c>
      <c r="I335" t="s">
        <v>37</v>
      </c>
      <c r="J335">
        <v>30</v>
      </c>
      <c r="K335">
        <v>47</v>
      </c>
      <c r="L335">
        <f t="shared" si="32"/>
        <v>17</v>
      </c>
      <c r="M335">
        <v>17</v>
      </c>
      <c r="N335">
        <f t="shared" ref="N335:N346" si="36">IF(L335&lt;&gt;M335,1,0)</f>
        <v>0</v>
      </c>
      <c r="O335">
        <v>17</v>
      </c>
      <c r="P335">
        <v>19</v>
      </c>
      <c r="R335">
        <v>25</v>
      </c>
      <c r="S335">
        <v>3</v>
      </c>
      <c r="T335" s="3">
        <f t="shared" si="33"/>
        <v>64</v>
      </c>
      <c r="U335" s="3" t="str">
        <f t="shared" si="34"/>
        <v>USTED NO ESTÁ AL DÍA</v>
      </c>
      <c r="V335" s="3" t="s">
        <v>27</v>
      </c>
      <c r="X335">
        <v>50</v>
      </c>
      <c r="Y335">
        <f t="shared" si="35"/>
        <v>114</v>
      </c>
    </row>
    <row r="336" spans="1:25" ht="15.75" hidden="1" customHeight="1" x14ac:dyDescent="0.35">
      <c r="A336" s="3">
        <v>17230</v>
      </c>
      <c r="B336" s="3" t="s">
        <v>23</v>
      </c>
      <c r="C336" s="2">
        <v>46179</v>
      </c>
      <c r="D336" s="2">
        <v>46174</v>
      </c>
      <c r="E336" s="2">
        <v>46122</v>
      </c>
      <c r="F336" s="2">
        <v>46152</v>
      </c>
      <c r="G336" t="s">
        <v>433</v>
      </c>
      <c r="H336" t="s">
        <v>430</v>
      </c>
      <c r="I336" t="s">
        <v>26</v>
      </c>
      <c r="J336">
        <v>23</v>
      </c>
      <c r="K336">
        <v>32</v>
      </c>
      <c r="L336">
        <f t="shared" si="32"/>
        <v>9</v>
      </c>
      <c r="M336">
        <v>9</v>
      </c>
      <c r="N336">
        <f t="shared" si="36"/>
        <v>0</v>
      </c>
      <c r="O336">
        <v>9</v>
      </c>
      <c r="R336">
        <v>25</v>
      </c>
      <c r="S336">
        <v>3</v>
      </c>
      <c r="T336" s="3">
        <f t="shared" si="33"/>
        <v>37</v>
      </c>
      <c r="U336" s="3" t="str">
        <f t="shared" si="34"/>
        <v>USTED ESTÁ AL DÍA</v>
      </c>
      <c r="V336" s="3" t="s">
        <v>27</v>
      </c>
      <c r="X336">
        <v>50</v>
      </c>
      <c r="Y336">
        <f t="shared" si="35"/>
        <v>87</v>
      </c>
    </row>
    <row r="337" spans="1:25" ht="15.75" hidden="1" customHeight="1" x14ac:dyDescent="0.35">
      <c r="A337" s="3">
        <v>17231</v>
      </c>
      <c r="B337" s="3" t="s">
        <v>23</v>
      </c>
      <c r="C337" s="2">
        <v>46179</v>
      </c>
      <c r="D337" s="2">
        <v>46174</v>
      </c>
      <c r="E337" s="2">
        <v>46122</v>
      </c>
      <c r="F337" s="2">
        <v>46152</v>
      </c>
      <c r="G337" t="s">
        <v>434</v>
      </c>
      <c r="H337" t="s">
        <v>430</v>
      </c>
      <c r="I337" t="s">
        <v>29</v>
      </c>
      <c r="J337">
        <v>52</v>
      </c>
      <c r="K337">
        <v>75</v>
      </c>
      <c r="L337">
        <f t="shared" si="32"/>
        <v>23</v>
      </c>
      <c r="M337">
        <v>23</v>
      </c>
      <c r="N337">
        <f t="shared" si="36"/>
        <v>0</v>
      </c>
      <c r="O337">
        <v>23</v>
      </c>
      <c r="R337">
        <v>25</v>
      </c>
      <c r="S337">
        <v>3</v>
      </c>
      <c r="T337" s="3">
        <f t="shared" si="33"/>
        <v>51</v>
      </c>
      <c r="U337" s="3" t="str">
        <f t="shared" si="34"/>
        <v>USTED ESTÁ AL DÍA</v>
      </c>
      <c r="V337" s="3" t="s">
        <v>27</v>
      </c>
      <c r="Y337">
        <f t="shared" si="35"/>
        <v>51</v>
      </c>
    </row>
    <row r="338" spans="1:25" ht="15.75" hidden="1" customHeight="1" x14ac:dyDescent="0.35">
      <c r="A338" s="3">
        <v>17232</v>
      </c>
      <c r="B338" s="3" t="s">
        <v>23</v>
      </c>
      <c r="C338" s="2">
        <v>46179</v>
      </c>
      <c r="D338" s="2">
        <v>46174</v>
      </c>
      <c r="E338" s="2">
        <v>46122</v>
      </c>
      <c r="F338" s="2">
        <v>46152</v>
      </c>
      <c r="G338" t="s">
        <v>435</v>
      </c>
      <c r="H338" t="s">
        <v>430</v>
      </c>
      <c r="I338" t="s">
        <v>33</v>
      </c>
      <c r="J338">
        <v>28</v>
      </c>
      <c r="K338">
        <v>38</v>
      </c>
      <c r="L338">
        <f t="shared" si="32"/>
        <v>10</v>
      </c>
      <c r="M338">
        <v>10</v>
      </c>
      <c r="N338">
        <f t="shared" si="36"/>
        <v>0</v>
      </c>
      <c r="O338">
        <v>10</v>
      </c>
      <c r="R338">
        <v>25</v>
      </c>
      <c r="S338">
        <v>3</v>
      </c>
      <c r="T338" s="3">
        <f t="shared" si="33"/>
        <v>38</v>
      </c>
      <c r="U338" s="3" t="str">
        <f t="shared" si="34"/>
        <v>USTED ESTÁ AL DÍA</v>
      </c>
      <c r="V338" s="3" t="s">
        <v>27</v>
      </c>
      <c r="W338">
        <v>20</v>
      </c>
      <c r="X338">
        <v>75</v>
      </c>
      <c r="Y338">
        <f t="shared" si="35"/>
        <v>133</v>
      </c>
    </row>
    <row r="339" spans="1:25" ht="15.75" hidden="1" customHeight="1" x14ac:dyDescent="0.35">
      <c r="A339" s="3">
        <v>17233</v>
      </c>
      <c r="B339" s="3" t="s">
        <v>23</v>
      </c>
      <c r="C339" s="2">
        <v>46179</v>
      </c>
      <c r="D339" s="2">
        <v>46174</v>
      </c>
      <c r="E339" s="2">
        <v>46122</v>
      </c>
      <c r="F339" s="2">
        <v>46152</v>
      </c>
      <c r="G339" t="s">
        <v>436</v>
      </c>
      <c r="H339" t="s">
        <v>430</v>
      </c>
      <c r="I339" t="s">
        <v>39</v>
      </c>
      <c r="J339">
        <v>38</v>
      </c>
      <c r="K339">
        <v>61</v>
      </c>
      <c r="L339">
        <f t="shared" si="32"/>
        <v>23</v>
      </c>
      <c r="M339">
        <v>23</v>
      </c>
      <c r="N339">
        <f t="shared" si="36"/>
        <v>0</v>
      </c>
      <c r="O339">
        <v>23</v>
      </c>
      <c r="R339">
        <v>25</v>
      </c>
      <c r="S339">
        <v>3</v>
      </c>
      <c r="T339" s="3">
        <f t="shared" si="33"/>
        <v>51</v>
      </c>
      <c r="U339" s="3" t="str">
        <f t="shared" si="34"/>
        <v>USTED ESTÁ AL DÍA</v>
      </c>
      <c r="V339" s="3" t="s">
        <v>27</v>
      </c>
      <c r="Y339">
        <f t="shared" si="35"/>
        <v>51</v>
      </c>
    </row>
    <row r="340" spans="1:25" ht="15.75" hidden="1" customHeight="1" x14ac:dyDescent="0.35">
      <c r="A340" s="3">
        <v>17234</v>
      </c>
      <c r="B340" s="3" t="s">
        <v>23</v>
      </c>
      <c r="C340" s="2">
        <v>46179</v>
      </c>
      <c r="D340" s="2">
        <v>46174</v>
      </c>
      <c r="E340" s="2">
        <v>46122</v>
      </c>
      <c r="F340" s="2">
        <v>46152</v>
      </c>
      <c r="G340" t="s">
        <v>437</v>
      </c>
      <c r="H340" t="s">
        <v>430</v>
      </c>
      <c r="I340" t="s">
        <v>41</v>
      </c>
      <c r="J340">
        <v>55</v>
      </c>
      <c r="K340">
        <v>79</v>
      </c>
      <c r="L340">
        <f t="shared" si="32"/>
        <v>24</v>
      </c>
      <c r="M340">
        <v>24</v>
      </c>
      <c r="N340">
        <f t="shared" si="36"/>
        <v>0</v>
      </c>
      <c r="O340">
        <v>24</v>
      </c>
      <c r="R340">
        <v>25</v>
      </c>
      <c r="S340">
        <v>3</v>
      </c>
      <c r="T340" s="3">
        <f t="shared" si="33"/>
        <v>52</v>
      </c>
      <c r="U340" s="3" t="str">
        <f t="shared" si="34"/>
        <v>USTED ESTÁ AL DÍA</v>
      </c>
      <c r="V340" s="3" t="s">
        <v>27</v>
      </c>
      <c r="Y340">
        <f t="shared" si="35"/>
        <v>52</v>
      </c>
    </row>
    <row r="341" spans="1:25" ht="15.75" hidden="1" customHeight="1" x14ac:dyDescent="0.35">
      <c r="A341" s="3">
        <v>17235</v>
      </c>
      <c r="B341" s="3" t="s">
        <v>23</v>
      </c>
      <c r="C341" s="2">
        <v>46179</v>
      </c>
      <c r="D341" s="2">
        <v>46174</v>
      </c>
      <c r="E341" s="2">
        <v>46122</v>
      </c>
      <c r="F341" s="2">
        <v>46152</v>
      </c>
      <c r="G341" t="s">
        <v>438</v>
      </c>
      <c r="H341" t="s">
        <v>430</v>
      </c>
      <c r="I341" t="s">
        <v>45</v>
      </c>
      <c r="J341">
        <v>45</v>
      </c>
      <c r="K341">
        <v>65</v>
      </c>
      <c r="L341">
        <f t="shared" si="32"/>
        <v>20</v>
      </c>
      <c r="M341">
        <v>20</v>
      </c>
      <c r="N341">
        <f t="shared" si="36"/>
        <v>0</v>
      </c>
      <c r="O341">
        <v>20</v>
      </c>
      <c r="R341">
        <v>25</v>
      </c>
      <c r="S341">
        <v>3</v>
      </c>
      <c r="T341" s="3">
        <f t="shared" si="33"/>
        <v>48</v>
      </c>
      <c r="U341" s="3" t="str">
        <f t="shared" si="34"/>
        <v>USTED ESTÁ AL DÍA</v>
      </c>
      <c r="V341" s="3" t="s">
        <v>27</v>
      </c>
      <c r="W341">
        <v>20</v>
      </c>
      <c r="X341">
        <v>75</v>
      </c>
      <c r="Y341">
        <f t="shared" si="35"/>
        <v>143</v>
      </c>
    </row>
    <row r="342" spans="1:25" ht="15.75" hidden="1" customHeight="1" x14ac:dyDescent="0.35">
      <c r="A342" s="3">
        <v>17236</v>
      </c>
      <c r="B342" s="3" t="s">
        <v>23</v>
      </c>
      <c r="C342" s="2">
        <v>46179</v>
      </c>
      <c r="D342" s="2">
        <v>46174</v>
      </c>
      <c r="E342" s="2">
        <v>46122</v>
      </c>
      <c r="F342" s="2">
        <v>46152</v>
      </c>
      <c r="G342" t="s">
        <v>439</v>
      </c>
      <c r="H342" t="s">
        <v>430</v>
      </c>
      <c r="I342" t="s">
        <v>47</v>
      </c>
      <c r="J342">
        <v>16</v>
      </c>
      <c r="K342">
        <v>26</v>
      </c>
      <c r="L342">
        <f t="shared" si="32"/>
        <v>10</v>
      </c>
      <c r="M342">
        <v>10</v>
      </c>
      <c r="N342">
        <f t="shared" si="36"/>
        <v>0</v>
      </c>
      <c r="O342">
        <v>10</v>
      </c>
      <c r="R342">
        <v>25</v>
      </c>
      <c r="S342">
        <v>3</v>
      </c>
      <c r="T342" s="3">
        <f t="shared" si="33"/>
        <v>38</v>
      </c>
      <c r="U342" s="3" t="str">
        <f t="shared" si="34"/>
        <v>USTED ESTÁ AL DÍA</v>
      </c>
      <c r="V342" s="3" t="s">
        <v>27</v>
      </c>
      <c r="Y342">
        <f t="shared" si="35"/>
        <v>38</v>
      </c>
    </row>
    <row r="343" spans="1:25" ht="15.75" hidden="1" customHeight="1" x14ac:dyDescent="0.35">
      <c r="A343" s="3">
        <v>17237</v>
      </c>
      <c r="B343" s="3" t="s">
        <v>23</v>
      </c>
      <c r="C343" s="2">
        <v>46179</v>
      </c>
      <c r="D343" s="2">
        <v>46174</v>
      </c>
      <c r="E343" s="2">
        <v>46122</v>
      </c>
      <c r="F343" s="2">
        <v>46152</v>
      </c>
      <c r="G343" t="s">
        <v>440</v>
      </c>
      <c r="H343" t="s">
        <v>430</v>
      </c>
      <c r="I343" t="s">
        <v>66</v>
      </c>
      <c r="J343">
        <v>26</v>
      </c>
      <c r="K343">
        <v>39</v>
      </c>
      <c r="L343">
        <f t="shared" si="32"/>
        <v>13</v>
      </c>
      <c r="M343">
        <v>13</v>
      </c>
      <c r="N343">
        <f t="shared" si="36"/>
        <v>0</v>
      </c>
      <c r="O343">
        <v>13</v>
      </c>
      <c r="R343">
        <v>25</v>
      </c>
      <c r="S343">
        <v>3</v>
      </c>
      <c r="T343" s="3">
        <f t="shared" si="33"/>
        <v>41</v>
      </c>
      <c r="U343" s="3" t="str">
        <f t="shared" si="34"/>
        <v>USTED ESTÁ AL DÍA</v>
      </c>
      <c r="V343" s="3" t="s">
        <v>27</v>
      </c>
      <c r="Y343">
        <f t="shared" si="35"/>
        <v>41</v>
      </c>
    </row>
    <row r="344" spans="1:25" ht="15.75" hidden="1" customHeight="1" x14ac:dyDescent="0.35">
      <c r="A344" s="3">
        <v>17238</v>
      </c>
      <c r="B344" s="3" t="s">
        <v>23</v>
      </c>
      <c r="C344" s="2">
        <v>46179</v>
      </c>
      <c r="D344" s="2">
        <v>46174</v>
      </c>
      <c r="E344" s="2">
        <v>46122</v>
      </c>
      <c r="F344" s="2">
        <v>46152</v>
      </c>
      <c r="G344" t="s">
        <v>441</v>
      </c>
      <c r="H344" t="s">
        <v>430</v>
      </c>
      <c r="I344" t="s">
        <v>68</v>
      </c>
      <c r="J344">
        <v>1444</v>
      </c>
      <c r="K344">
        <v>1450</v>
      </c>
      <c r="L344">
        <f t="shared" si="32"/>
        <v>6</v>
      </c>
      <c r="M344">
        <v>6</v>
      </c>
      <c r="N344">
        <f t="shared" si="36"/>
        <v>0</v>
      </c>
      <c r="O344">
        <v>6</v>
      </c>
      <c r="S344">
        <v>3</v>
      </c>
      <c r="T344" s="3">
        <f t="shared" si="33"/>
        <v>9</v>
      </c>
      <c r="U344" s="3" t="str">
        <f t="shared" si="34"/>
        <v>USTED ESTÁ AL DÍA</v>
      </c>
      <c r="V344" s="3" t="s">
        <v>27</v>
      </c>
      <c r="W344">
        <v>30</v>
      </c>
      <c r="Y344">
        <f t="shared" si="35"/>
        <v>39</v>
      </c>
    </row>
    <row r="345" spans="1:25" ht="15.75" hidden="1" customHeight="1" x14ac:dyDescent="0.35">
      <c r="A345" s="3">
        <v>17239</v>
      </c>
      <c r="B345" s="3" t="s">
        <v>23</v>
      </c>
      <c r="C345" s="2">
        <v>46179</v>
      </c>
      <c r="D345" s="2">
        <v>46174</v>
      </c>
      <c r="E345" s="2">
        <v>46122</v>
      </c>
      <c r="F345" s="2">
        <v>46152</v>
      </c>
      <c r="G345" t="s">
        <v>442</v>
      </c>
      <c r="H345" t="s">
        <v>430</v>
      </c>
      <c r="I345" t="s">
        <v>97</v>
      </c>
      <c r="J345">
        <v>45</v>
      </c>
      <c r="K345">
        <v>62</v>
      </c>
      <c r="L345">
        <f t="shared" si="32"/>
        <v>17</v>
      </c>
      <c r="M345">
        <v>17</v>
      </c>
      <c r="N345">
        <f t="shared" si="36"/>
        <v>0</v>
      </c>
      <c r="O345">
        <v>17</v>
      </c>
      <c r="R345">
        <v>25</v>
      </c>
      <c r="S345">
        <v>3</v>
      </c>
      <c r="T345" s="3">
        <f t="shared" si="33"/>
        <v>45</v>
      </c>
      <c r="U345" s="3" t="str">
        <f t="shared" si="34"/>
        <v>USTED ESTÁ AL DÍA</v>
      </c>
      <c r="V345" s="3" t="s">
        <v>27</v>
      </c>
      <c r="W345">
        <v>30</v>
      </c>
      <c r="Y345">
        <f t="shared" si="35"/>
        <v>75</v>
      </c>
    </row>
    <row r="346" spans="1:25" ht="15.75" hidden="1" customHeight="1" x14ac:dyDescent="0.35">
      <c r="A346" s="3">
        <v>17240</v>
      </c>
      <c r="B346" s="3" t="s">
        <v>23</v>
      </c>
      <c r="C346" s="2">
        <v>46179</v>
      </c>
      <c r="D346" s="2">
        <v>46174</v>
      </c>
      <c r="E346" s="2">
        <v>46122</v>
      </c>
      <c r="F346" s="2">
        <v>46152</v>
      </c>
      <c r="G346" t="s">
        <v>443</v>
      </c>
      <c r="H346" t="s">
        <v>430</v>
      </c>
      <c r="I346" t="s">
        <v>101</v>
      </c>
      <c r="J346">
        <v>2441</v>
      </c>
      <c r="K346">
        <v>2451</v>
      </c>
      <c r="L346">
        <f t="shared" si="32"/>
        <v>10</v>
      </c>
      <c r="M346">
        <v>10</v>
      </c>
      <c r="N346">
        <f t="shared" si="36"/>
        <v>0</v>
      </c>
      <c r="O346">
        <v>10</v>
      </c>
      <c r="S346">
        <v>3</v>
      </c>
      <c r="T346" s="3">
        <f t="shared" si="33"/>
        <v>13</v>
      </c>
      <c r="U346" s="3" t="str">
        <f t="shared" si="34"/>
        <v>USTED ESTÁ AL DÍA</v>
      </c>
      <c r="V346" s="3" t="s">
        <v>27</v>
      </c>
      <c r="W346">
        <v>20</v>
      </c>
      <c r="Y346">
        <f t="shared" si="35"/>
        <v>33</v>
      </c>
    </row>
    <row r="347" spans="1:25" ht="15.75" hidden="1" customHeight="1" x14ac:dyDescent="0.35">
      <c r="A347" s="3">
        <v>17241</v>
      </c>
      <c r="B347" s="3" t="s">
        <v>23</v>
      </c>
      <c r="C347" s="2">
        <v>46179</v>
      </c>
      <c r="D347" s="2">
        <v>46174</v>
      </c>
      <c r="E347" s="2">
        <v>46122</v>
      </c>
      <c r="F347" s="2">
        <v>46152</v>
      </c>
      <c r="G347" t="s">
        <v>444</v>
      </c>
      <c r="H347" t="s">
        <v>430</v>
      </c>
      <c r="I347" t="s">
        <v>43</v>
      </c>
      <c r="L347">
        <f t="shared" si="32"/>
        <v>0</v>
      </c>
      <c r="S347">
        <v>0</v>
      </c>
      <c r="T347" s="3">
        <f t="shared" si="33"/>
        <v>0</v>
      </c>
      <c r="U347" s="3" t="str">
        <f t="shared" si="34"/>
        <v>USTED ESTÁ AL DÍA</v>
      </c>
      <c r="V347" s="3" t="s">
        <v>27</v>
      </c>
      <c r="W347">
        <v>30</v>
      </c>
      <c r="X347">
        <v>50</v>
      </c>
      <c r="Y347">
        <f t="shared" si="35"/>
        <v>80</v>
      </c>
    </row>
    <row r="348" spans="1:25" ht="15.75" hidden="1" customHeight="1" x14ac:dyDescent="0.35">
      <c r="A348" s="3">
        <v>17242</v>
      </c>
      <c r="B348" s="3" t="s">
        <v>23</v>
      </c>
      <c r="C348" s="2">
        <v>46179</v>
      </c>
      <c r="D348" s="2">
        <v>46174</v>
      </c>
      <c r="E348" s="2">
        <v>46122</v>
      </c>
      <c r="F348" s="2">
        <v>46152</v>
      </c>
      <c r="G348" t="s">
        <v>445</v>
      </c>
      <c r="H348" t="s">
        <v>430</v>
      </c>
      <c r="I348" t="s">
        <v>79</v>
      </c>
      <c r="L348">
        <f t="shared" si="32"/>
        <v>0</v>
      </c>
      <c r="S348">
        <v>0</v>
      </c>
      <c r="T348" s="3">
        <f t="shared" si="33"/>
        <v>0</v>
      </c>
      <c r="U348" s="3" t="str">
        <f t="shared" si="34"/>
        <v>USTED ESTÁ AL DÍA</v>
      </c>
      <c r="V348" s="3" t="s">
        <v>27</v>
      </c>
      <c r="X348">
        <v>50</v>
      </c>
      <c r="Y348">
        <f t="shared" si="35"/>
        <v>50</v>
      </c>
    </row>
    <row r="349" spans="1:25" ht="15.75" hidden="1" customHeight="1" x14ac:dyDescent="0.35">
      <c r="A349" s="3">
        <v>17243</v>
      </c>
      <c r="B349" s="3" t="s">
        <v>23</v>
      </c>
      <c r="C349" s="2">
        <v>46179</v>
      </c>
      <c r="D349" s="2">
        <v>46174</v>
      </c>
      <c r="E349" s="2">
        <v>46122</v>
      </c>
      <c r="F349" s="2">
        <v>46152</v>
      </c>
      <c r="G349" t="s">
        <v>446</v>
      </c>
      <c r="H349" t="s">
        <v>447</v>
      </c>
      <c r="I349" t="s">
        <v>39</v>
      </c>
      <c r="J349">
        <v>721</v>
      </c>
      <c r="K349">
        <v>742</v>
      </c>
      <c r="L349">
        <f t="shared" si="32"/>
        <v>21</v>
      </c>
      <c r="M349">
        <v>21</v>
      </c>
      <c r="N349">
        <f>IF(L349&lt;&gt;M349,1,0)</f>
        <v>0</v>
      </c>
      <c r="O349">
        <v>21</v>
      </c>
      <c r="P349">
        <v>20</v>
      </c>
      <c r="S349">
        <v>3</v>
      </c>
      <c r="T349" s="3">
        <f t="shared" si="33"/>
        <v>44</v>
      </c>
      <c r="U349" s="3" t="str">
        <f t="shared" si="34"/>
        <v>USTED NO ESTÁ AL DÍA</v>
      </c>
      <c r="V349" s="3" t="s">
        <v>27</v>
      </c>
      <c r="Y349">
        <f t="shared" si="35"/>
        <v>44</v>
      </c>
    </row>
    <row r="350" spans="1:25" ht="15.75" hidden="1" customHeight="1" x14ac:dyDescent="0.35">
      <c r="A350" s="3">
        <v>17244</v>
      </c>
      <c r="B350" s="3" t="s">
        <v>23</v>
      </c>
      <c r="C350" s="2">
        <v>46179</v>
      </c>
      <c r="D350" s="2">
        <v>46174</v>
      </c>
      <c r="E350" s="2">
        <v>46122</v>
      </c>
      <c r="F350" s="2">
        <v>46152</v>
      </c>
      <c r="G350" t="s">
        <v>448</v>
      </c>
      <c r="H350" t="s">
        <v>447</v>
      </c>
      <c r="I350" t="s">
        <v>43</v>
      </c>
      <c r="J350">
        <v>0</v>
      </c>
      <c r="K350">
        <v>0</v>
      </c>
      <c r="L350">
        <f t="shared" si="32"/>
        <v>0</v>
      </c>
      <c r="M350">
        <v>5</v>
      </c>
      <c r="O350">
        <v>5</v>
      </c>
      <c r="P350">
        <v>8</v>
      </c>
      <c r="R350">
        <v>25</v>
      </c>
      <c r="S350">
        <v>3</v>
      </c>
      <c r="T350" s="3">
        <f t="shared" si="33"/>
        <v>41</v>
      </c>
      <c r="U350" s="3" t="str">
        <f t="shared" si="34"/>
        <v>USTED NO ESTÁ AL DÍA</v>
      </c>
      <c r="V350" s="3" t="s">
        <v>27</v>
      </c>
      <c r="W350">
        <v>50</v>
      </c>
      <c r="X350">
        <v>75</v>
      </c>
      <c r="Y350">
        <f t="shared" si="35"/>
        <v>166</v>
      </c>
    </row>
    <row r="351" spans="1:25" ht="15.75" hidden="1" customHeight="1" x14ac:dyDescent="0.35">
      <c r="A351" s="3">
        <v>17245</v>
      </c>
      <c r="B351" s="3" t="s">
        <v>23</v>
      </c>
      <c r="C351" s="2">
        <v>46179</v>
      </c>
      <c r="D351" s="2">
        <v>46174</v>
      </c>
      <c r="E351" s="2">
        <v>46122</v>
      </c>
      <c r="F351" s="2">
        <v>46152</v>
      </c>
      <c r="G351" t="s">
        <v>449</v>
      </c>
      <c r="H351" t="s">
        <v>447</v>
      </c>
      <c r="I351" t="s">
        <v>45</v>
      </c>
      <c r="J351">
        <v>1138</v>
      </c>
      <c r="K351">
        <v>1154</v>
      </c>
      <c r="L351">
        <f t="shared" si="32"/>
        <v>16</v>
      </c>
      <c r="M351">
        <v>16</v>
      </c>
      <c r="N351">
        <f>IF(L351&lt;&gt;M351,1,0)</f>
        <v>0</v>
      </c>
      <c r="O351">
        <v>16</v>
      </c>
      <c r="P351">
        <v>15</v>
      </c>
      <c r="S351">
        <v>3</v>
      </c>
      <c r="T351" s="3">
        <f t="shared" si="33"/>
        <v>34</v>
      </c>
      <c r="U351" s="3" t="str">
        <f t="shared" si="34"/>
        <v>USTED NO ESTÁ AL DÍA</v>
      </c>
      <c r="V351" s="3" t="s">
        <v>27</v>
      </c>
      <c r="X351">
        <v>50</v>
      </c>
      <c r="Y351">
        <f t="shared" si="35"/>
        <v>84</v>
      </c>
    </row>
    <row r="352" spans="1:25" ht="15.75" hidden="1" customHeight="1" x14ac:dyDescent="0.35">
      <c r="A352" s="3">
        <v>17246</v>
      </c>
      <c r="B352" s="3" t="s">
        <v>23</v>
      </c>
      <c r="C352" s="2">
        <v>46179</v>
      </c>
      <c r="D352" s="2">
        <v>46174</v>
      </c>
      <c r="E352" s="2">
        <v>46122</v>
      </c>
      <c r="F352" s="2">
        <v>46152</v>
      </c>
      <c r="G352" t="s">
        <v>450</v>
      </c>
      <c r="H352" t="s">
        <v>447</v>
      </c>
      <c r="I352" t="s">
        <v>95</v>
      </c>
      <c r="J352">
        <v>18</v>
      </c>
      <c r="K352">
        <v>19</v>
      </c>
      <c r="L352">
        <f t="shared" si="32"/>
        <v>1</v>
      </c>
      <c r="M352">
        <v>5</v>
      </c>
      <c r="O352">
        <v>5</v>
      </c>
      <c r="P352">
        <v>8</v>
      </c>
      <c r="S352">
        <v>3</v>
      </c>
      <c r="T352" s="3">
        <f t="shared" si="33"/>
        <v>16</v>
      </c>
      <c r="U352" s="3" t="str">
        <f t="shared" si="34"/>
        <v>USTED NO ESTÁ AL DÍA</v>
      </c>
      <c r="V352" s="3" t="s">
        <v>27</v>
      </c>
      <c r="W352">
        <v>30</v>
      </c>
      <c r="Y352">
        <f t="shared" si="35"/>
        <v>46</v>
      </c>
    </row>
    <row r="353" spans="1:25" ht="15.75" hidden="1" customHeight="1" x14ac:dyDescent="0.35">
      <c r="A353" s="3">
        <v>17247</v>
      </c>
      <c r="B353" s="3" t="s">
        <v>23</v>
      </c>
      <c r="C353" s="2">
        <v>46179</v>
      </c>
      <c r="D353" s="2">
        <v>46174</v>
      </c>
      <c r="E353" s="2">
        <v>46122</v>
      </c>
      <c r="F353" s="2">
        <v>46152</v>
      </c>
      <c r="G353" t="s">
        <v>451</v>
      </c>
      <c r="H353" t="s">
        <v>447</v>
      </c>
      <c r="I353" t="s">
        <v>144</v>
      </c>
      <c r="J353">
        <v>66</v>
      </c>
      <c r="K353">
        <v>86</v>
      </c>
      <c r="L353">
        <f t="shared" si="32"/>
        <v>20</v>
      </c>
      <c r="M353">
        <v>20</v>
      </c>
      <c r="N353">
        <f>IF(L353&lt;&gt;M353,1,0)</f>
        <v>0</v>
      </c>
      <c r="O353">
        <v>20</v>
      </c>
      <c r="P353">
        <v>24</v>
      </c>
      <c r="R353">
        <v>25</v>
      </c>
      <c r="S353">
        <v>3</v>
      </c>
      <c r="T353" s="3">
        <f t="shared" si="33"/>
        <v>72</v>
      </c>
      <c r="U353" s="3" t="str">
        <f t="shared" si="34"/>
        <v>USTED NO ESTÁ AL DÍA</v>
      </c>
      <c r="V353" s="3" t="s">
        <v>27</v>
      </c>
      <c r="W353">
        <v>50</v>
      </c>
      <c r="Y353">
        <f t="shared" si="35"/>
        <v>122</v>
      </c>
    </row>
    <row r="354" spans="1:25" ht="15.75" hidden="1" customHeight="1" x14ac:dyDescent="0.35">
      <c r="A354" s="3">
        <v>17248</v>
      </c>
      <c r="B354" s="3" t="s">
        <v>23</v>
      </c>
      <c r="C354" s="2">
        <v>46179</v>
      </c>
      <c r="D354" s="2">
        <v>46174</v>
      </c>
      <c r="E354" s="2">
        <v>46122</v>
      </c>
      <c r="F354" s="2">
        <v>46152</v>
      </c>
      <c r="G354" t="s">
        <v>452</v>
      </c>
      <c r="H354" t="s">
        <v>447</v>
      </c>
      <c r="I354" t="s">
        <v>26</v>
      </c>
      <c r="J354">
        <v>3225</v>
      </c>
      <c r="K354">
        <v>3251</v>
      </c>
      <c r="L354">
        <f t="shared" si="32"/>
        <v>26</v>
      </c>
      <c r="M354">
        <v>26</v>
      </c>
      <c r="N354">
        <f>IF(L354&lt;&gt;M354,1,0)</f>
        <v>0</v>
      </c>
      <c r="O354">
        <v>26</v>
      </c>
      <c r="S354">
        <v>3</v>
      </c>
      <c r="T354" s="3">
        <f t="shared" si="33"/>
        <v>29</v>
      </c>
      <c r="U354" s="3" t="str">
        <f t="shared" si="34"/>
        <v>USTED ESTÁ AL DÍA</v>
      </c>
      <c r="V354" s="3" t="s">
        <v>27</v>
      </c>
      <c r="Y354">
        <f t="shared" si="35"/>
        <v>29</v>
      </c>
    </row>
    <row r="355" spans="1:25" ht="15.75" hidden="1" customHeight="1" x14ac:dyDescent="0.35">
      <c r="A355" s="3">
        <v>17249</v>
      </c>
      <c r="B355" s="3" t="s">
        <v>23</v>
      </c>
      <c r="C355" s="2">
        <v>46179</v>
      </c>
      <c r="D355" s="2">
        <v>46174</v>
      </c>
      <c r="E355" s="2">
        <v>46122</v>
      </c>
      <c r="F355" s="2">
        <v>46152</v>
      </c>
      <c r="G355" t="s">
        <v>453</v>
      </c>
      <c r="H355" t="s">
        <v>447</v>
      </c>
      <c r="I355" t="s">
        <v>29</v>
      </c>
      <c r="J355">
        <v>3138</v>
      </c>
      <c r="K355">
        <v>3151</v>
      </c>
      <c r="L355">
        <f t="shared" si="32"/>
        <v>13</v>
      </c>
      <c r="M355">
        <v>13</v>
      </c>
      <c r="N355">
        <f>IF(L355&lt;&gt;M355,1,0)</f>
        <v>0</v>
      </c>
      <c r="O355">
        <v>13</v>
      </c>
      <c r="S355">
        <v>3</v>
      </c>
      <c r="T355" s="3">
        <f t="shared" si="33"/>
        <v>16</v>
      </c>
      <c r="U355" s="3" t="str">
        <f t="shared" si="34"/>
        <v>USTED ESTÁ AL DÍA</v>
      </c>
      <c r="V355" s="3" t="s">
        <v>27</v>
      </c>
      <c r="Y355">
        <f t="shared" si="35"/>
        <v>16</v>
      </c>
    </row>
    <row r="356" spans="1:25" ht="15.75" hidden="1" customHeight="1" x14ac:dyDescent="0.35">
      <c r="A356" s="3">
        <v>17250</v>
      </c>
      <c r="B356" s="3" t="s">
        <v>23</v>
      </c>
      <c r="C356" s="2">
        <v>46179</v>
      </c>
      <c r="D356" s="2">
        <v>46174</v>
      </c>
      <c r="E356" s="2">
        <v>46122</v>
      </c>
      <c r="F356" s="2">
        <v>46152</v>
      </c>
      <c r="G356" t="s">
        <v>454</v>
      </c>
      <c r="H356" t="s">
        <v>447</v>
      </c>
      <c r="I356" t="s">
        <v>31</v>
      </c>
      <c r="J356">
        <v>1182</v>
      </c>
      <c r="K356">
        <v>1185</v>
      </c>
      <c r="L356">
        <f t="shared" si="32"/>
        <v>3</v>
      </c>
      <c r="M356">
        <v>5</v>
      </c>
      <c r="O356">
        <v>5</v>
      </c>
      <c r="S356">
        <v>3</v>
      </c>
      <c r="T356" s="3">
        <f t="shared" si="33"/>
        <v>8</v>
      </c>
      <c r="U356" s="3" t="str">
        <f t="shared" si="34"/>
        <v>USTED ESTÁ AL DÍA</v>
      </c>
      <c r="V356" s="3" t="s">
        <v>27</v>
      </c>
      <c r="X356">
        <v>50</v>
      </c>
      <c r="Y356">
        <f t="shared" si="35"/>
        <v>58</v>
      </c>
    </row>
    <row r="357" spans="1:25" ht="15.75" hidden="1" customHeight="1" x14ac:dyDescent="0.35">
      <c r="A357" s="3">
        <v>17251</v>
      </c>
      <c r="B357" s="3" t="s">
        <v>23</v>
      </c>
      <c r="C357" s="2">
        <v>46179</v>
      </c>
      <c r="D357" s="2">
        <v>46174</v>
      </c>
      <c r="E357" s="2">
        <v>46122</v>
      </c>
      <c r="F357" s="2">
        <v>46152</v>
      </c>
      <c r="G357" t="s">
        <v>455</v>
      </c>
      <c r="H357" t="s">
        <v>447</v>
      </c>
      <c r="I357" t="s">
        <v>33</v>
      </c>
      <c r="J357">
        <v>21</v>
      </c>
      <c r="K357">
        <v>30</v>
      </c>
      <c r="L357">
        <f t="shared" si="32"/>
        <v>9</v>
      </c>
      <c r="M357">
        <v>9</v>
      </c>
      <c r="N357">
        <f>IF(L357&lt;&gt;M357,1,0)</f>
        <v>0</v>
      </c>
      <c r="O357">
        <v>9</v>
      </c>
      <c r="S357">
        <v>3</v>
      </c>
      <c r="T357" s="3">
        <f t="shared" si="33"/>
        <v>12</v>
      </c>
      <c r="U357" s="3" t="str">
        <f t="shared" si="34"/>
        <v>USTED ESTÁ AL DÍA</v>
      </c>
      <c r="V357" s="3" t="s">
        <v>27</v>
      </c>
      <c r="Y357">
        <f t="shared" si="35"/>
        <v>12</v>
      </c>
    </row>
    <row r="358" spans="1:25" ht="15.75" hidden="1" customHeight="1" x14ac:dyDescent="0.35">
      <c r="A358" s="3">
        <v>17252</v>
      </c>
      <c r="B358" s="3" t="s">
        <v>23</v>
      </c>
      <c r="C358" s="2">
        <v>46179</v>
      </c>
      <c r="D358" s="2">
        <v>46174</v>
      </c>
      <c r="E358" s="2">
        <v>46122</v>
      </c>
      <c r="F358" s="2">
        <v>46152</v>
      </c>
      <c r="G358" t="s">
        <v>456</v>
      </c>
      <c r="H358" t="s">
        <v>447</v>
      </c>
      <c r="I358" t="s">
        <v>35</v>
      </c>
      <c r="J358">
        <v>278</v>
      </c>
      <c r="K358">
        <v>291</v>
      </c>
      <c r="L358">
        <f t="shared" si="32"/>
        <v>13</v>
      </c>
      <c r="M358">
        <v>13</v>
      </c>
      <c r="N358">
        <f>IF(L358&lt;&gt;M358,1,0)</f>
        <v>0</v>
      </c>
      <c r="O358">
        <v>13</v>
      </c>
      <c r="S358">
        <v>3</v>
      </c>
      <c r="T358" s="3">
        <f t="shared" si="33"/>
        <v>16</v>
      </c>
      <c r="U358" s="3" t="str">
        <f t="shared" si="34"/>
        <v>USTED ESTÁ AL DÍA</v>
      </c>
      <c r="V358" s="3" t="s">
        <v>27</v>
      </c>
      <c r="W358">
        <v>30</v>
      </c>
      <c r="X358">
        <v>50</v>
      </c>
      <c r="Y358">
        <f t="shared" si="35"/>
        <v>96</v>
      </c>
    </row>
    <row r="359" spans="1:25" ht="15.75" hidden="1" customHeight="1" x14ac:dyDescent="0.35">
      <c r="A359" s="3">
        <v>17253</v>
      </c>
      <c r="B359" s="3" t="s">
        <v>23</v>
      </c>
      <c r="C359" s="2">
        <v>46179</v>
      </c>
      <c r="D359" s="2">
        <v>46174</v>
      </c>
      <c r="E359" s="2">
        <v>46122</v>
      </c>
      <c r="F359" s="2">
        <v>46152</v>
      </c>
      <c r="G359" t="s">
        <v>457</v>
      </c>
      <c r="H359" t="s">
        <v>447</v>
      </c>
      <c r="I359" t="s">
        <v>37</v>
      </c>
      <c r="J359">
        <v>3967</v>
      </c>
      <c r="K359">
        <v>3985</v>
      </c>
      <c r="L359">
        <f t="shared" si="32"/>
        <v>18</v>
      </c>
      <c r="M359">
        <v>18</v>
      </c>
      <c r="N359">
        <f>IF(L359&lt;&gt;M359,1,0)</f>
        <v>0</v>
      </c>
      <c r="O359">
        <v>18</v>
      </c>
      <c r="S359">
        <v>3</v>
      </c>
      <c r="T359" s="3">
        <f t="shared" si="33"/>
        <v>21</v>
      </c>
      <c r="U359" s="3" t="str">
        <f t="shared" si="34"/>
        <v>USTED ESTÁ AL DÍA</v>
      </c>
      <c r="V359" s="3" t="s">
        <v>27</v>
      </c>
      <c r="W359">
        <v>30</v>
      </c>
      <c r="Y359">
        <f t="shared" si="35"/>
        <v>51</v>
      </c>
    </row>
    <row r="360" spans="1:25" ht="15.75" hidden="1" customHeight="1" x14ac:dyDescent="0.35">
      <c r="A360" s="3">
        <v>17254</v>
      </c>
      <c r="B360" s="3" t="s">
        <v>23</v>
      </c>
      <c r="C360" s="2">
        <v>46179</v>
      </c>
      <c r="D360" s="2">
        <v>46174</v>
      </c>
      <c r="E360" s="2">
        <v>46122</v>
      </c>
      <c r="F360" s="2">
        <v>46152</v>
      </c>
      <c r="G360" t="s">
        <v>458</v>
      </c>
      <c r="H360" t="s">
        <v>447</v>
      </c>
      <c r="I360" t="s">
        <v>41</v>
      </c>
      <c r="J360">
        <v>148</v>
      </c>
      <c r="K360">
        <v>158</v>
      </c>
      <c r="L360">
        <f t="shared" si="32"/>
        <v>10</v>
      </c>
      <c r="M360">
        <v>10</v>
      </c>
      <c r="N360">
        <f>IF(L360&lt;&gt;M360,1,0)</f>
        <v>0</v>
      </c>
      <c r="O360">
        <v>10</v>
      </c>
      <c r="S360">
        <v>3</v>
      </c>
      <c r="T360" s="3">
        <f t="shared" si="33"/>
        <v>13</v>
      </c>
      <c r="U360" s="3" t="str">
        <f t="shared" si="34"/>
        <v>USTED ESTÁ AL DÍA</v>
      </c>
      <c r="V360" s="3" t="s">
        <v>27</v>
      </c>
      <c r="W360">
        <v>30</v>
      </c>
      <c r="Y360">
        <f t="shared" si="35"/>
        <v>43</v>
      </c>
    </row>
    <row r="361" spans="1:25" ht="15.75" hidden="1" customHeight="1" x14ac:dyDescent="0.35">
      <c r="A361" s="3">
        <v>17255</v>
      </c>
      <c r="B361" s="3" t="s">
        <v>23</v>
      </c>
      <c r="C361" s="2">
        <v>46179</v>
      </c>
      <c r="D361" s="2">
        <v>46174</v>
      </c>
      <c r="E361" s="2">
        <v>46122</v>
      </c>
      <c r="F361" s="2">
        <v>46152</v>
      </c>
      <c r="G361" t="s">
        <v>459</v>
      </c>
      <c r="H361" t="s">
        <v>447</v>
      </c>
      <c r="I361" t="s">
        <v>47</v>
      </c>
      <c r="J361">
        <v>4</v>
      </c>
      <c r="K361">
        <v>7</v>
      </c>
      <c r="L361">
        <f t="shared" si="32"/>
        <v>3</v>
      </c>
      <c r="M361">
        <v>5</v>
      </c>
      <c r="O361">
        <v>5</v>
      </c>
      <c r="S361">
        <v>3</v>
      </c>
      <c r="T361" s="3">
        <f t="shared" si="33"/>
        <v>8</v>
      </c>
      <c r="U361" s="3" t="str">
        <f t="shared" si="34"/>
        <v>USTED ESTÁ AL DÍA</v>
      </c>
      <c r="V361" s="3" t="s">
        <v>27</v>
      </c>
      <c r="Y361">
        <f t="shared" si="35"/>
        <v>8</v>
      </c>
    </row>
    <row r="362" spans="1:25" ht="15.75" hidden="1" customHeight="1" x14ac:dyDescent="0.35">
      <c r="A362" s="3">
        <v>17256</v>
      </c>
      <c r="B362" s="3" t="s">
        <v>23</v>
      </c>
      <c r="C362" s="2">
        <v>46179</v>
      </c>
      <c r="D362" s="2">
        <v>46174</v>
      </c>
      <c r="E362" s="2">
        <v>46122</v>
      </c>
      <c r="F362" s="2">
        <v>46152</v>
      </c>
      <c r="G362" t="s">
        <v>460</v>
      </c>
      <c r="H362" t="s">
        <v>447</v>
      </c>
      <c r="I362" t="s">
        <v>68</v>
      </c>
      <c r="J362">
        <v>99987</v>
      </c>
      <c r="K362">
        <v>99993</v>
      </c>
      <c r="L362">
        <f t="shared" si="32"/>
        <v>6</v>
      </c>
      <c r="M362">
        <v>6</v>
      </c>
      <c r="N362">
        <f>IF(L362&lt;&gt;M362,1,0)</f>
        <v>0</v>
      </c>
      <c r="O362">
        <v>6</v>
      </c>
      <c r="S362">
        <v>3</v>
      </c>
      <c r="T362" s="3">
        <f t="shared" si="33"/>
        <v>9</v>
      </c>
      <c r="U362" s="3" t="str">
        <f t="shared" si="34"/>
        <v>USTED ESTÁ AL DÍA</v>
      </c>
      <c r="V362" s="3" t="s">
        <v>27</v>
      </c>
      <c r="W362">
        <v>30</v>
      </c>
      <c r="X362">
        <v>75</v>
      </c>
      <c r="Y362">
        <f t="shared" si="35"/>
        <v>114</v>
      </c>
    </row>
    <row r="363" spans="1:25" ht="15.75" hidden="1" customHeight="1" x14ac:dyDescent="0.35">
      <c r="A363" s="3">
        <v>17257</v>
      </c>
      <c r="B363" s="3" t="s">
        <v>23</v>
      </c>
      <c r="C363" s="2">
        <v>46179</v>
      </c>
      <c r="D363" s="2">
        <v>46174</v>
      </c>
      <c r="E363" s="2">
        <v>46122</v>
      </c>
      <c r="F363" s="2">
        <v>46152</v>
      </c>
      <c r="G363" t="s">
        <v>461</v>
      </c>
      <c r="H363" t="s">
        <v>447</v>
      </c>
      <c r="I363" t="s">
        <v>97</v>
      </c>
      <c r="J363">
        <v>16</v>
      </c>
      <c r="K363">
        <v>23</v>
      </c>
      <c r="L363">
        <f t="shared" si="32"/>
        <v>7</v>
      </c>
      <c r="M363">
        <v>7</v>
      </c>
      <c r="N363">
        <f>IF(L363&lt;&gt;M363,1,0)</f>
        <v>0</v>
      </c>
      <c r="O363">
        <v>7</v>
      </c>
      <c r="R363">
        <v>25</v>
      </c>
      <c r="S363">
        <v>3</v>
      </c>
      <c r="T363" s="3">
        <f t="shared" si="33"/>
        <v>35</v>
      </c>
      <c r="U363" s="3" t="str">
        <f t="shared" si="34"/>
        <v>USTED ESTÁ AL DÍA</v>
      </c>
      <c r="V363" s="3" t="s">
        <v>27</v>
      </c>
      <c r="Y363">
        <f t="shared" si="35"/>
        <v>35</v>
      </c>
    </row>
    <row r="364" spans="1:25" ht="15.75" hidden="1" customHeight="1" x14ac:dyDescent="0.35">
      <c r="A364" s="3">
        <v>17258</v>
      </c>
      <c r="B364" s="3" t="s">
        <v>23</v>
      </c>
      <c r="C364" s="2">
        <v>46179</v>
      </c>
      <c r="D364" s="2">
        <v>46174</v>
      </c>
      <c r="E364" s="2">
        <v>46122</v>
      </c>
      <c r="F364" s="2">
        <v>46152</v>
      </c>
      <c r="G364" t="s">
        <v>462</v>
      </c>
      <c r="H364" t="s">
        <v>447</v>
      </c>
      <c r="I364" t="s">
        <v>101</v>
      </c>
      <c r="J364">
        <v>98</v>
      </c>
      <c r="K364">
        <v>101</v>
      </c>
      <c r="L364">
        <f t="shared" si="32"/>
        <v>3</v>
      </c>
      <c r="M364">
        <v>5</v>
      </c>
      <c r="O364">
        <v>5</v>
      </c>
      <c r="S364">
        <v>3</v>
      </c>
      <c r="T364" s="3">
        <f t="shared" si="33"/>
        <v>8</v>
      </c>
      <c r="U364" s="3" t="str">
        <f t="shared" si="34"/>
        <v>USTED ESTÁ AL DÍA</v>
      </c>
      <c r="V364" s="3" t="s">
        <v>27</v>
      </c>
      <c r="W364">
        <v>30</v>
      </c>
      <c r="Y364">
        <f t="shared" si="35"/>
        <v>38</v>
      </c>
    </row>
    <row r="365" spans="1:25" ht="15.75" hidden="1" customHeight="1" x14ac:dyDescent="0.35">
      <c r="A365" s="3">
        <v>17259</v>
      </c>
      <c r="B365" s="3" t="s">
        <v>23</v>
      </c>
      <c r="C365" s="2">
        <v>46179</v>
      </c>
      <c r="D365" s="2">
        <v>46174</v>
      </c>
      <c r="E365" s="2">
        <v>46122</v>
      </c>
      <c r="F365" s="2">
        <v>46152</v>
      </c>
      <c r="G365" t="s">
        <v>463</v>
      </c>
      <c r="H365" t="s">
        <v>447</v>
      </c>
      <c r="I365" t="s">
        <v>79</v>
      </c>
      <c r="J365">
        <v>91</v>
      </c>
      <c r="K365">
        <v>96</v>
      </c>
      <c r="L365">
        <f t="shared" si="32"/>
        <v>5</v>
      </c>
      <c r="M365">
        <v>5</v>
      </c>
      <c r="O365">
        <v>5</v>
      </c>
      <c r="S365">
        <v>3</v>
      </c>
      <c r="T365" s="3">
        <f t="shared" si="33"/>
        <v>8</v>
      </c>
      <c r="U365" s="3" t="str">
        <f t="shared" si="34"/>
        <v>USTED ESTÁ AL DÍA</v>
      </c>
      <c r="V365" s="3" t="s">
        <v>27</v>
      </c>
      <c r="X365">
        <v>75</v>
      </c>
      <c r="Y365">
        <f t="shared" si="35"/>
        <v>83</v>
      </c>
    </row>
    <row r="366" spans="1:25" ht="15.75" hidden="1" customHeight="1" x14ac:dyDescent="0.35">
      <c r="A366" s="3">
        <v>17260</v>
      </c>
      <c r="B366" s="3" t="s">
        <v>23</v>
      </c>
      <c r="C366" s="2">
        <v>46179</v>
      </c>
      <c r="D366" s="2">
        <v>46174</v>
      </c>
      <c r="E366" s="2">
        <v>46122</v>
      </c>
      <c r="F366" s="2">
        <v>46152</v>
      </c>
      <c r="G366" t="s">
        <v>464</v>
      </c>
      <c r="H366" t="s">
        <v>447</v>
      </c>
      <c r="I366" t="s">
        <v>93</v>
      </c>
      <c r="J366">
        <v>18</v>
      </c>
      <c r="K366">
        <v>19</v>
      </c>
      <c r="L366">
        <f t="shared" si="32"/>
        <v>1</v>
      </c>
      <c r="M366">
        <v>5</v>
      </c>
      <c r="O366">
        <v>5</v>
      </c>
      <c r="S366">
        <v>3</v>
      </c>
      <c r="T366" s="3">
        <f t="shared" si="33"/>
        <v>8</v>
      </c>
      <c r="U366" s="3" t="str">
        <f t="shared" si="34"/>
        <v>USTED ESTÁ AL DÍA</v>
      </c>
      <c r="V366" s="3" t="s">
        <v>27</v>
      </c>
      <c r="W366">
        <v>30</v>
      </c>
      <c r="Y366">
        <f t="shared" si="35"/>
        <v>38</v>
      </c>
    </row>
    <row r="367" spans="1:25" ht="15.75" hidden="1" customHeight="1" x14ac:dyDescent="0.35">
      <c r="A367" s="3">
        <v>17261</v>
      </c>
      <c r="B367" s="3" t="s">
        <v>23</v>
      </c>
      <c r="C367" s="2">
        <v>46179</v>
      </c>
      <c r="D367" s="2">
        <v>46174</v>
      </c>
      <c r="E367" s="2">
        <v>46122</v>
      </c>
      <c r="F367" s="2">
        <v>46152</v>
      </c>
      <c r="G367" t="s">
        <v>465</v>
      </c>
      <c r="H367" t="s">
        <v>447</v>
      </c>
      <c r="I367" t="s">
        <v>91</v>
      </c>
      <c r="J367">
        <v>52</v>
      </c>
      <c r="K367">
        <v>71</v>
      </c>
      <c r="L367">
        <f t="shared" si="32"/>
        <v>19</v>
      </c>
      <c r="M367">
        <v>19</v>
      </c>
      <c r="N367">
        <f>IF(L367&lt;&gt;M367,1,0)</f>
        <v>0</v>
      </c>
      <c r="O367">
        <v>19</v>
      </c>
      <c r="R367">
        <v>25</v>
      </c>
      <c r="S367">
        <v>3</v>
      </c>
      <c r="T367" s="3">
        <f t="shared" si="33"/>
        <v>47</v>
      </c>
      <c r="U367" s="3" t="str">
        <f t="shared" si="34"/>
        <v>USTED ESTÁ AL DÍA</v>
      </c>
      <c r="V367" s="3" t="s">
        <v>27</v>
      </c>
      <c r="X367">
        <v>75</v>
      </c>
      <c r="Y367">
        <f t="shared" si="35"/>
        <v>122</v>
      </c>
    </row>
    <row r="368" spans="1:25" ht="15.75" hidden="1" customHeight="1" x14ac:dyDescent="0.35">
      <c r="A368" s="3">
        <v>17262</v>
      </c>
      <c r="B368" s="3" t="s">
        <v>23</v>
      </c>
      <c r="C368" s="2">
        <v>46179</v>
      </c>
      <c r="D368" s="2">
        <v>46174</v>
      </c>
      <c r="E368" s="2">
        <v>46122</v>
      </c>
      <c r="F368" s="2">
        <v>46152</v>
      </c>
      <c r="G368" t="s">
        <v>466</v>
      </c>
      <c r="H368" t="s">
        <v>447</v>
      </c>
      <c r="I368" t="s">
        <v>84</v>
      </c>
      <c r="J368">
        <v>56</v>
      </c>
      <c r="K368">
        <v>77</v>
      </c>
      <c r="L368">
        <f t="shared" si="32"/>
        <v>21</v>
      </c>
      <c r="M368">
        <v>21</v>
      </c>
      <c r="N368">
        <f>IF(L368&lt;&gt;M368,1,0)</f>
        <v>0</v>
      </c>
      <c r="O368">
        <v>21</v>
      </c>
      <c r="S368">
        <v>3</v>
      </c>
      <c r="T368" s="3">
        <f t="shared" si="33"/>
        <v>24</v>
      </c>
      <c r="U368" s="3" t="str">
        <f t="shared" si="34"/>
        <v>USTED ESTÁ AL DÍA</v>
      </c>
      <c r="V368" s="3" t="s">
        <v>27</v>
      </c>
      <c r="Y368">
        <f t="shared" si="35"/>
        <v>24</v>
      </c>
    </row>
    <row r="369" spans="1:25" ht="15.75" hidden="1" customHeight="1" x14ac:dyDescent="0.35">
      <c r="A369" s="3">
        <v>17263</v>
      </c>
      <c r="B369" s="3" t="s">
        <v>23</v>
      </c>
      <c r="C369" s="2">
        <v>46179</v>
      </c>
      <c r="D369" s="2">
        <v>46174</v>
      </c>
      <c r="E369" s="2">
        <v>46122</v>
      </c>
      <c r="F369" s="2">
        <v>46152</v>
      </c>
      <c r="G369" t="s">
        <v>467</v>
      </c>
      <c r="H369" t="s">
        <v>447</v>
      </c>
      <c r="I369" t="s">
        <v>124</v>
      </c>
      <c r="J369">
        <v>70</v>
      </c>
      <c r="K369">
        <v>89</v>
      </c>
      <c r="L369">
        <f t="shared" si="32"/>
        <v>19</v>
      </c>
      <c r="M369">
        <v>19</v>
      </c>
      <c r="N369">
        <f>IF(L369&lt;&gt;M369,1,0)</f>
        <v>0</v>
      </c>
      <c r="O369">
        <v>19</v>
      </c>
      <c r="R369">
        <v>25</v>
      </c>
      <c r="S369">
        <v>3</v>
      </c>
      <c r="T369" s="3">
        <f t="shared" si="33"/>
        <v>47</v>
      </c>
      <c r="U369" s="3" t="str">
        <f t="shared" si="34"/>
        <v>USTED ESTÁ AL DÍA</v>
      </c>
      <c r="V369" s="3" t="s">
        <v>27</v>
      </c>
      <c r="Y369">
        <f t="shared" si="35"/>
        <v>47</v>
      </c>
    </row>
    <row r="370" spans="1:25" ht="15.75" hidden="1" customHeight="1" x14ac:dyDescent="0.35">
      <c r="A370" s="3">
        <v>17264</v>
      </c>
      <c r="B370" s="3" t="s">
        <v>23</v>
      </c>
      <c r="C370" s="2">
        <v>46179</v>
      </c>
      <c r="D370" s="2">
        <v>46174</v>
      </c>
      <c r="E370" s="2">
        <v>46122</v>
      </c>
      <c r="F370" s="2">
        <v>46152</v>
      </c>
      <c r="G370" t="s">
        <v>468</v>
      </c>
      <c r="H370" t="s">
        <v>447</v>
      </c>
      <c r="I370" t="s">
        <v>66</v>
      </c>
      <c r="L370">
        <f t="shared" si="32"/>
        <v>0</v>
      </c>
      <c r="S370">
        <v>0</v>
      </c>
      <c r="T370" s="3">
        <f t="shared" si="33"/>
        <v>0</v>
      </c>
      <c r="U370" s="3" t="str">
        <f t="shared" si="34"/>
        <v>USTED ESTÁ AL DÍA</v>
      </c>
      <c r="V370" s="3" t="s">
        <v>27</v>
      </c>
      <c r="Y370">
        <f t="shared" si="35"/>
        <v>0</v>
      </c>
    </row>
    <row r="371" spans="1:25" ht="15.75" hidden="1" customHeight="1" x14ac:dyDescent="0.35">
      <c r="A371" s="3">
        <v>17265</v>
      </c>
      <c r="B371" s="3" t="s">
        <v>23</v>
      </c>
      <c r="C371" s="2">
        <v>46179</v>
      </c>
      <c r="D371" s="2">
        <v>46174</v>
      </c>
      <c r="E371" s="2">
        <v>46122</v>
      </c>
      <c r="F371" s="2">
        <v>46152</v>
      </c>
      <c r="G371" t="s">
        <v>469</v>
      </c>
      <c r="H371" t="s">
        <v>470</v>
      </c>
      <c r="I371" t="s">
        <v>26</v>
      </c>
      <c r="J371">
        <v>49</v>
      </c>
      <c r="K371">
        <v>67</v>
      </c>
      <c r="L371">
        <f t="shared" si="32"/>
        <v>18</v>
      </c>
      <c r="M371">
        <v>18</v>
      </c>
      <c r="N371">
        <f>IF(L371&lt;&gt;M371,1,0)</f>
        <v>0</v>
      </c>
      <c r="O371">
        <v>18</v>
      </c>
      <c r="P371">
        <v>25</v>
      </c>
      <c r="R371">
        <v>25</v>
      </c>
      <c r="S371">
        <v>3</v>
      </c>
      <c r="T371" s="3">
        <f t="shared" si="33"/>
        <v>71</v>
      </c>
      <c r="U371" s="3" t="str">
        <f t="shared" si="34"/>
        <v>USTED NO ESTÁ AL DÍA</v>
      </c>
      <c r="V371" s="3" t="s">
        <v>27</v>
      </c>
      <c r="W371">
        <v>50</v>
      </c>
      <c r="X371">
        <v>50</v>
      </c>
      <c r="Y371">
        <f t="shared" si="35"/>
        <v>171</v>
      </c>
    </row>
    <row r="372" spans="1:25" ht="15.75" hidden="1" customHeight="1" x14ac:dyDescent="0.35">
      <c r="A372" s="3">
        <v>17266</v>
      </c>
      <c r="B372" s="3" t="s">
        <v>23</v>
      </c>
      <c r="C372" s="2">
        <v>46179</v>
      </c>
      <c r="D372" s="2">
        <v>46174</v>
      </c>
      <c r="E372" s="2">
        <v>46122</v>
      </c>
      <c r="F372" s="2">
        <v>46152</v>
      </c>
      <c r="G372" t="s">
        <v>471</v>
      </c>
      <c r="H372" t="s">
        <v>470</v>
      </c>
      <c r="I372" t="s">
        <v>29</v>
      </c>
      <c r="J372">
        <v>60</v>
      </c>
      <c r="K372">
        <v>82</v>
      </c>
      <c r="L372">
        <f t="shared" si="32"/>
        <v>22</v>
      </c>
      <c r="M372">
        <v>22</v>
      </c>
      <c r="N372">
        <f>IF(L372&lt;&gt;M372,1,0)</f>
        <v>0</v>
      </c>
      <c r="O372">
        <v>22</v>
      </c>
      <c r="R372">
        <v>25</v>
      </c>
      <c r="S372">
        <v>3</v>
      </c>
      <c r="T372" s="3">
        <f t="shared" si="33"/>
        <v>50</v>
      </c>
      <c r="U372" s="3" t="str">
        <f t="shared" si="34"/>
        <v>USTED ESTÁ AL DÍA</v>
      </c>
      <c r="V372" s="3" t="s">
        <v>27</v>
      </c>
      <c r="Y372">
        <f t="shared" si="35"/>
        <v>50</v>
      </c>
    </row>
    <row r="373" spans="1:25" ht="15.75" hidden="1" customHeight="1" x14ac:dyDescent="0.35">
      <c r="A373" s="3">
        <v>17267</v>
      </c>
      <c r="B373" s="3" t="s">
        <v>23</v>
      </c>
      <c r="C373" s="2">
        <v>46179</v>
      </c>
      <c r="D373" s="2">
        <v>46174</v>
      </c>
      <c r="E373" s="2">
        <v>46122</v>
      </c>
      <c r="F373" s="2">
        <v>46152</v>
      </c>
      <c r="G373" t="s">
        <v>472</v>
      </c>
      <c r="H373" t="s">
        <v>470</v>
      </c>
      <c r="I373" t="s">
        <v>31</v>
      </c>
      <c r="J373">
        <v>12</v>
      </c>
      <c r="K373">
        <v>23</v>
      </c>
      <c r="L373">
        <f t="shared" si="32"/>
        <v>11</v>
      </c>
      <c r="M373">
        <v>11</v>
      </c>
      <c r="N373">
        <f>IF(L373&lt;&gt;M373,1,0)</f>
        <v>0</v>
      </c>
      <c r="O373">
        <v>11</v>
      </c>
      <c r="R373">
        <v>25</v>
      </c>
      <c r="S373">
        <v>3</v>
      </c>
      <c r="T373" s="3">
        <f t="shared" si="33"/>
        <v>39</v>
      </c>
      <c r="U373" s="3" t="str">
        <f t="shared" si="34"/>
        <v>USTED ESTÁ AL DÍA</v>
      </c>
      <c r="V373" s="3" t="s">
        <v>27</v>
      </c>
      <c r="X373">
        <v>75</v>
      </c>
      <c r="Y373">
        <f t="shared" si="35"/>
        <v>114</v>
      </c>
    </row>
    <row r="374" spans="1:25" ht="15.75" hidden="1" customHeight="1" x14ac:dyDescent="0.35">
      <c r="A374" s="3">
        <v>17268</v>
      </c>
      <c r="B374" s="3" t="s">
        <v>23</v>
      </c>
      <c r="C374" s="2">
        <v>46179</v>
      </c>
      <c r="D374" s="2">
        <v>46174</v>
      </c>
      <c r="E374" s="2">
        <v>46122</v>
      </c>
      <c r="F374" s="2">
        <v>46152</v>
      </c>
      <c r="G374" t="s">
        <v>473</v>
      </c>
      <c r="H374" t="s">
        <v>470</v>
      </c>
      <c r="I374" t="s">
        <v>33</v>
      </c>
      <c r="J374">
        <v>169</v>
      </c>
      <c r="K374">
        <v>174</v>
      </c>
      <c r="L374">
        <f t="shared" si="32"/>
        <v>5</v>
      </c>
      <c r="M374">
        <v>5</v>
      </c>
      <c r="O374">
        <v>5</v>
      </c>
      <c r="S374">
        <v>3</v>
      </c>
      <c r="T374" s="3">
        <f t="shared" si="33"/>
        <v>8</v>
      </c>
      <c r="U374" s="3" t="str">
        <f t="shared" si="34"/>
        <v>USTED ESTÁ AL DÍA</v>
      </c>
      <c r="V374" s="3" t="s">
        <v>27</v>
      </c>
      <c r="X374">
        <v>50</v>
      </c>
      <c r="Y374">
        <f t="shared" si="35"/>
        <v>58</v>
      </c>
    </row>
    <row r="375" spans="1:25" ht="15.75" hidden="1" customHeight="1" x14ac:dyDescent="0.35">
      <c r="A375" s="3">
        <v>17269</v>
      </c>
      <c r="B375" s="3" t="s">
        <v>23</v>
      </c>
      <c r="C375" s="2">
        <v>46179</v>
      </c>
      <c r="D375" s="2">
        <v>46174</v>
      </c>
      <c r="E375" s="2">
        <v>46122</v>
      </c>
      <c r="F375" s="2">
        <v>46152</v>
      </c>
      <c r="G375" t="s">
        <v>474</v>
      </c>
      <c r="H375" t="s">
        <v>470</v>
      </c>
      <c r="I375" t="s">
        <v>37</v>
      </c>
      <c r="J375">
        <v>806</v>
      </c>
      <c r="K375">
        <v>832</v>
      </c>
      <c r="L375">
        <f t="shared" si="32"/>
        <v>26</v>
      </c>
      <c r="M375">
        <v>26</v>
      </c>
      <c r="N375">
        <f>IF(L375&lt;&gt;M375,1,0)</f>
        <v>0</v>
      </c>
      <c r="O375">
        <v>26</v>
      </c>
      <c r="S375">
        <v>3</v>
      </c>
      <c r="T375" s="3">
        <f t="shared" si="33"/>
        <v>29</v>
      </c>
      <c r="U375" s="3" t="str">
        <f t="shared" si="34"/>
        <v>USTED ESTÁ AL DÍA</v>
      </c>
      <c r="V375" s="3" t="s">
        <v>27</v>
      </c>
      <c r="W375">
        <v>20</v>
      </c>
      <c r="X375">
        <v>50</v>
      </c>
      <c r="Y375">
        <f t="shared" si="35"/>
        <v>99</v>
      </c>
    </row>
    <row r="376" spans="1:25" ht="15.75" hidden="1" customHeight="1" x14ac:dyDescent="0.35">
      <c r="A376" s="3">
        <v>17270</v>
      </c>
      <c r="B376" s="3" t="s">
        <v>23</v>
      </c>
      <c r="C376" s="2">
        <v>46179</v>
      </c>
      <c r="D376" s="2">
        <v>46174</v>
      </c>
      <c r="E376" s="2">
        <v>46122</v>
      </c>
      <c r="F376" s="2">
        <v>46152</v>
      </c>
      <c r="G376" t="s">
        <v>475</v>
      </c>
      <c r="H376" t="s">
        <v>470</v>
      </c>
      <c r="I376" t="s">
        <v>35</v>
      </c>
      <c r="L376">
        <f t="shared" si="32"/>
        <v>0</v>
      </c>
      <c r="S376">
        <v>0</v>
      </c>
      <c r="T376" s="3">
        <f t="shared" si="33"/>
        <v>0</v>
      </c>
      <c r="U376" s="3" t="str">
        <f t="shared" si="34"/>
        <v>USTED ESTÁ AL DÍA</v>
      </c>
      <c r="V376" s="3" t="s">
        <v>27</v>
      </c>
      <c r="W376">
        <v>50</v>
      </c>
      <c r="Y376">
        <f t="shared" si="35"/>
        <v>50</v>
      </c>
    </row>
    <row r="377" spans="1:25" ht="15.75" hidden="1" customHeight="1" x14ac:dyDescent="0.35">
      <c r="A377" s="3">
        <v>17271</v>
      </c>
      <c r="B377" s="3" t="s">
        <v>23</v>
      </c>
      <c r="C377" s="2">
        <v>46179</v>
      </c>
      <c r="D377" s="2">
        <v>46174</v>
      </c>
      <c r="E377" s="2">
        <v>46122</v>
      </c>
      <c r="F377" s="2">
        <v>46152</v>
      </c>
      <c r="G377" t="s">
        <v>476</v>
      </c>
      <c r="H377" t="s">
        <v>477</v>
      </c>
      <c r="I377" t="s">
        <v>29</v>
      </c>
      <c r="J377">
        <v>42</v>
      </c>
      <c r="K377">
        <v>51</v>
      </c>
      <c r="L377">
        <f t="shared" si="32"/>
        <v>9</v>
      </c>
      <c r="M377">
        <v>9</v>
      </c>
      <c r="N377">
        <f>IF(L377&lt;&gt;M377,1,0)</f>
        <v>0</v>
      </c>
      <c r="O377">
        <v>9</v>
      </c>
      <c r="P377">
        <v>13</v>
      </c>
      <c r="S377">
        <v>3</v>
      </c>
      <c r="T377" s="3">
        <f t="shared" si="33"/>
        <v>25</v>
      </c>
      <c r="U377" s="3" t="str">
        <f t="shared" si="34"/>
        <v>USTED NO ESTÁ AL DÍA</v>
      </c>
      <c r="V377" s="3" t="s">
        <v>27</v>
      </c>
      <c r="W377">
        <v>30</v>
      </c>
      <c r="Y377">
        <f t="shared" si="35"/>
        <v>55</v>
      </c>
    </row>
    <row r="378" spans="1:25" ht="15.75" hidden="1" customHeight="1" x14ac:dyDescent="0.35">
      <c r="A378" s="3">
        <v>17272</v>
      </c>
      <c r="B378" s="3" t="s">
        <v>23</v>
      </c>
      <c r="C378" s="2">
        <v>46179</v>
      </c>
      <c r="D378" s="2">
        <v>46174</v>
      </c>
      <c r="E378" s="2">
        <v>46122</v>
      </c>
      <c r="F378" s="2">
        <v>46152</v>
      </c>
      <c r="G378" t="s">
        <v>478</v>
      </c>
      <c r="H378" t="s">
        <v>477</v>
      </c>
      <c r="I378" t="s">
        <v>146</v>
      </c>
      <c r="J378">
        <v>94</v>
      </c>
      <c r="K378">
        <v>97</v>
      </c>
      <c r="L378">
        <f t="shared" si="32"/>
        <v>3</v>
      </c>
      <c r="M378">
        <v>5</v>
      </c>
      <c r="O378">
        <v>5</v>
      </c>
      <c r="P378">
        <v>8</v>
      </c>
      <c r="S378">
        <v>3</v>
      </c>
      <c r="T378" s="3">
        <f t="shared" si="33"/>
        <v>16</v>
      </c>
      <c r="U378" s="3" t="str">
        <f t="shared" si="34"/>
        <v>USTED NO ESTÁ AL DÍA</v>
      </c>
      <c r="V378" s="3" t="s">
        <v>27</v>
      </c>
      <c r="Y378">
        <f t="shared" si="35"/>
        <v>16</v>
      </c>
    </row>
    <row r="379" spans="1:25" ht="15.75" hidden="1" customHeight="1" x14ac:dyDescent="0.35">
      <c r="A379" s="3">
        <v>17273</v>
      </c>
      <c r="B379" s="3" t="s">
        <v>23</v>
      </c>
      <c r="C379" s="2">
        <v>46179</v>
      </c>
      <c r="D379" s="2">
        <v>46174</v>
      </c>
      <c r="E379" s="2">
        <v>46122</v>
      </c>
      <c r="F379" s="2">
        <v>46152</v>
      </c>
      <c r="G379" t="s">
        <v>479</v>
      </c>
      <c r="H379" t="s">
        <v>477</v>
      </c>
      <c r="I379" t="s">
        <v>148</v>
      </c>
      <c r="J379">
        <v>4</v>
      </c>
      <c r="K379">
        <v>4</v>
      </c>
      <c r="L379">
        <f t="shared" si="32"/>
        <v>0</v>
      </c>
      <c r="M379">
        <v>5</v>
      </c>
      <c r="O379">
        <v>5</v>
      </c>
      <c r="P379">
        <v>8</v>
      </c>
      <c r="S379">
        <v>3</v>
      </c>
      <c r="T379" s="3">
        <f t="shared" si="33"/>
        <v>16</v>
      </c>
      <c r="U379" s="3" t="str">
        <f t="shared" si="34"/>
        <v>USTED NO ESTÁ AL DÍA</v>
      </c>
      <c r="V379" s="3" t="s">
        <v>27</v>
      </c>
      <c r="W379">
        <v>50</v>
      </c>
      <c r="Y379">
        <f t="shared" si="35"/>
        <v>66</v>
      </c>
    </row>
    <row r="380" spans="1:25" ht="15.75" hidden="1" customHeight="1" x14ac:dyDescent="0.35">
      <c r="A380" s="3">
        <v>17274</v>
      </c>
      <c r="B380" s="3" t="s">
        <v>23</v>
      </c>
      <c r="C380" s="2">
        <v>46179</v>
      </c>
      <c r="D380" s="2">
        <v>46174</v>
      </c>
      <c r="E380" s="2">
        <v>46122</v>
      </c>
      <c r="F380" s="2">
        <v>46152</v>
      </c>
      <c r="G380" t="s">
        <v>480</v>
      </c>
      <c r="H380" t="s">
        <v>477</v>
      </c>
      <c r="I380" t="s">
        <v>26</v>
      </c>
      <c r="J380">
        <v>25</v>
      </c>
      <c r="K380">
        <v>33</v>
      </c>
      <c r="L380">
        <f t="shared" si="32"/>
        <v>8</v>
      </c>
      <c r="M380">
        <v>8</v>
      </c>
      <c r="N380">
        <f>IF(L380&lt;&gt;M380,1,0)</f>
        <v>0</v>
      </c>
      <c r="O380">
        <v>8</v>
      </c>
      <c r="R380">
        <v>25</v>
      </c>
      <c r="S380">
        <v>3</v>
      </c>
      <c r="T380" s="3">
        <f t="shared" si="33"/>
        <v>36</v>
      </c>
      <c r="U380" s="3" t="str">
        <f t="shared" si="34"/>
        <v>USTED ESTÁ AL DÍA</v>
      </c>
      <c r="V380" s="3" t="s">
        <v>27</v>
      </c>
      <c r="W380">
        <v>30</v>
      </c>
      <c r="X380">
        <v>10</v>
      </c>
      <c r="Y380">
        <f t="shared" si="35"/>
        <v>76</v>
      </c>
    </row>
    <row r="381" spans="1:25" ht="15.75" hidden="1" customHeight="1" x14ac:dyDescent="0.35">
      <c r="A381" s="3">
        <v>17275</v>
      </c>
      <c r="B381" s="3" t="s">
        <v>23</v>
      </c>
      <c r="C381" s="2">
        <v>46179</v>
      </c>
      <c r="D381" s="2">
        <v>46174</v>
      </c>
      <c r="E381" s="2">
        <v>46122</v>
      </c>
      <c r="F381" s="2">
        <v>46152</v>
      </c>
      <c r="G381" t="s">
        <v>481</v>
      </c>
      <c r="H381" t="s">
        <v>477</v>
      </c>
      <c r="I381" t="s">
        <v>31</v>
      </c>
      <c r="J381">
        <v>20</v>
      </c>
      <c r="K381">
        <v>29</v>
      </c>
      <c r="L381">
        <f t="shared" si="32"/>
        <v>9</v>
      </c>
      <c r="M381">
        <v>9</v>
      </c>
      <c r="N381">
        <f>IF(L381&lt;&gt;M381,1,0)</f>
        <v>0</v>
      </c>
      <c r="O381">
        <v>9</v>
      </c>
      <c r="S381">
        <v>3</v>
      </c>
      <c r="T381" s="3">
        <f t="shared" si="33"/>
        <v>12</v>
      </c>
      <c r="U381" s="3" t="str">
        <f t="shared" si="34"/>
        <v>USTED ESTÁ AL DÍA</v>
      </c>
      <c r="V381" s="3" t="s">
        <v>27</v>
      </c>
      <c r="W381">
        <v>20</v>
      </c>
      <c r="Y381">
        <f t="shared" si="35"/>
        <v>32</v>
      </c>
    </row>
    <row r="382" spans="1:25" ht="15.75" hidden="1" customHeight="1" x14ac:dyDescent="0.35">
      <c r="A382" s="3">
        <v>17276</v>
      </c>
      <c r="B382" s="3" t="s">
        <v>23</v>
      </c>
      <c r="C382" s="2">
        <v>46179</v>
      </c>
      <c r="D382" s="2">
        <v>46174</v>
      </c>
      <c r="E382" s="2">
        <v>46122</v>
      </c>
      <c r="F382" s="2">
        <v>46152</v>
      </c>
      <c r="G382" t="s">
        <v>482</v>
      </c>
      <c r="H382" t="s">
        <v>477</v>
      </c>
      <c r="I382" t="s">
        <v>33</v>
      </c>
      <c r="J382">
        <v>8</v>
      </c>
      <c r="K382">
        <v>10</v>
      </c>
      <c r="L382">
        <f t="shared" si="32"/>
        <v>2</v>
      </c>
      <c r="M382">
        <v>5</v>
      </c>
      <c r="O382">
        <v>5</v>
      </c>
      <c r="R382">
        <v>25</v>
      </c>
      <c r="S382">
        <v>3</v>
      </c>
      <c r="T382" s="3">
        <f t="shared" si="33"/>
        <v>33</v>
      </c>
      <c r="U382" s="3" t="str">
        <f t="shared" si="34"/>
        <v>USTED ESTÁ AL DÍA</v>
      </c>
      <c r="V382" s="3" t="s">
        <v>27</v>
      </c>
      <c r="Y382">
        <f t="shared" si="35"/>
        <v>33</v>
      </c>
    </row>
    <row r="383" spans="1:25" ht="15.75" hidden="1" customHeight="1" x14ac:dyDescent="0.35">
      <c r="A383" s="3">
        <v>17277</v>
      </c>
      <c r="B383" s="3" t="s">
        <v>23</v>
      </c>
      <c r="C383" s="2">
        <v>46179</v>
      </c>
      <c r="D383" s="2">
        <v>46174</v>
      </c>
      <c r="E383" s="2">
        <v>46122</v>
      </c>
      <c r="F383" s="2">
        <v>46152</v>
      </c>
      <c r="G383" t="s">
        <v>483</v>
      </c>
      <c r="H383" t="s">
        <v>477</v>
      </c>
      <c r="I383" t="s">
        <v>35</v>
      </c>
      <c r="J383">
        <v>666</v>
      </c>
      <c r="K383">
        <v>676</v>
      </c>
      <c r="L383">
        <f t="shared" si="32"/>
        <v>10</v>
      </c>
      <c r="M383">
        <v>10</v>
      </c>
      <c r="N383">
        <f>IF(L383&lt;&gt;M383,1,0)</f>
        <v>0</v>
      </c>
      <c r="O383">
        <v>10</v>
      </c>
      <c r="S383">
        <v>3</v>
      </c>
      <c r="T383" s="3">
        <f t="shared" si="33"/>
        <v>13</v>
      </c>
      <c r="U383" s="3" t="str">
        <f t="shared" si="34"/>
        <v>USTED ESTÁ AL DÍA</v>
      </c>
      <c r="V383" s="3" t="s">
        <v>27</v>
      </c>
      <c r="Y383">
        <f t="shared" si="35"/>
        <v>13</v>
      </c>
    </row>
    <row r="384" spans="1:25" ht="15.75" hidden="1" customHeight="1" x14ac:dyDescent="0.35">
      <c r="A384" s="3">
        <v>17278</v>
      </c>
      <c r="B384" s="3" t="s">
        <v>23</v>
      </c>
      <c r="C384" s="2">
        <v>46179</v>
      </c>
      <c r="D384" s="2">
        <v>46174</v>
      </c>
      <c r="E384" s="2">
        <v>46122</v>
      </c>
      <c r="F384" s="2">
        <v>46152</v>
      </c>
      <c r="G384" t="s">
        <v>484</v>
      </c>
      <c r="H384" t="s">
        <v>477</v>
      </c>
      <c r="I384" t="s">
        <v>37</v>
      </c>
      <c r="J384">
        <v>17</v>
      </c>
      <c r="K384">
        <v>25</v>
      </c>
      <c r="L384">
        <f t="shared" si="32"/>
        <v>8</v>
      </c>
      <c r="M384">
        <v>8</v>
      </c>
      <c r="N384">
        <f>IF(L384&lt;&gt;M384,1,0)</f>
        <v>0</v>
      </c>
      <c r="O384">
        <v>8</v>
      </c>
      <c r="R384">
        <v>25</v>
      </c>
      <c r="S384">
        <v>3</v>
      </c>
      <c r="T384" s="3">
        <f t="shared" si="33"/>
        <v>36</v>
      </c>
      <c r="U384" s="3" t="str">
        <f t="shared" si="34"/>
        <v>USTED ESTÁ AL DÍA</v>
      </c>
      <c r="V384" s="3" t="s">
        <v>27</v>
      </c>
      <c r="W384">
        <v>50</v>
      </c>
      <c r="X384">
        <v>50</v>
      </c>
      <c r="Y384">
        <f t="shared" si="35"/>
        <v>136</v>
      </c>
    </row>
    <row r="385" spans="1:25" ht="15.75" hidden="1" customHeight="1" x14ac:dyDescent="0.35">
      <c r="A385" s="3">
        <v>17279</v>
      </c>
      <c r="B385" s="3" t="s">
        <v>23</v>
      </c>
      <c r="C385" s="2">
        <v>46179</v>
      </c>
      <c r="D385" s="2">
        <v>46174</v>
      </c>
      <c r="E385" s="2">
        <v>46122</v>
      </c>
      <c r="F385" s="2">
        <v>46152</v>
      </c>
      <c r="G385" t="s">
        <v>485</v>
      </c>
      <c r="H385" t="s">
        <v>477</v>
      </c>
      <c r="I385" t="s">
        <v>39</v>
      </c>
      <c r="J385">
        <v>246</v>
      </c>
      <c r="K385">
        <v>251</v>
      </c>
      <c r="L385">
        <f t="shared" si="32"/>
        <v>5</v>
      </c>
      <c r="M385">
        <v>5</v>
      </c>
      <c r="O385">
        <v>5</v>
      </c>
      <c r="S385">
        <v>3</v>
      </c>
      <c r="T385" s="3">
        <f t="shared" si="33"/>
        <v>8</v>
      </c>
      <c r="U385" s="3" t="str">
        <f t="shared" si="34"/>
        <v>USTED ESTÁ AL DÍA</v>
      </c>
      <c r="V385" s="3" t="s">
        <v>27</v>
      </c>
      <c r="W385">
        <v>50</v>
      </c>
      <c r="X385">
        <v>75</v>
      </c>
      <c r="Y385">
        <f t="shared" si="35"/>
        <v>133</v>
      </c>
    </row>
    <row r="386" spans="1:25" ht="15.75" hidden="1" customHeight="1" x14ac:dyDescent="0.35">
      <c r="A386" s="3">
        <v>17280</v>
      </c>
      <c r="B386" s="3" t="s">
        <v>23</v>
      </c>
      <c r="C386" s="2">
        <v>46179</v>
      </c>
      <c r="D386" s="2">
        <v>46174</v>
      </c>
      <c r="E386" s="2">
        <v>46122</v>
      </c>
      <c r="F386" s="2">
        <v>46152</v>
      </c>
      <c r="G386" t="s">
        <v>486</v>
      </c>
      <c r="H386" t="s">
        <v>477</v>
      </c>
      <c r="I386" t="s">
        <v>41</v>
      </c>
      <c r="J386">
        <v>26</v>
      </c>
      <c r="K386">
        <v>40</v>
      </c>
      <c r="L386">
        <f t="shared" ref="L386:L449" si="37">K386-J386</f>
        <v>14</v>
      </c>
      <c r="M386">
        <v>14</v>
      </c>
      <c r="N386">
        <f>IF(L386&lt;&gt;M386,1,0)</f>
        <v>0</v>
      </c>
      <c r="O386">
        <v>14</v>
      </c>
      <c r="R386">
        <v>25</v>
      </c>
      <c r="S386">
        <v>3</v>
      </c>
      <c r="T386" s="3">
        <f t="shared" ref="T386:T449" si="38">SUM(O386:S386)</f>
        <v>42</v>
      </c>
      <c r="U386" s="3" t="str">
        <f t="shared" ref="U386:U449" si="39">IF(P386&lt;8,"USTED ESTÁ AL DÍA","USTED NO ESTÁ AL DÍA")</f>
        <v>USTED ESTÁ AL DÍA</v>
      </c>
      <c r="V386" s="3" t="s">
        <v>27</v>
      </c>
      <c r="W386">
        <v>50</v>
      </c>
      <c r="X386">
        <v>50</v>
      </c>
      <c r="Y386">
        <f t="shared" ref="Y386:Y449" si="40">T386+W386+X386</f>
        <v>142</v>
      </c>
    </row>
    <row r="387" spans="1:25" ht="15.75" hidden="1" customHeight="1" x14ac:dyDescent="0.35">
      <c r="A387" s="3">
        <v>17281</v>
      </c>
      <c r="B387" s="3" t="s">
        <v>23</v>
      </c>
      <c r="C387" s="2">
        <v>46179</v>
      </c>
      <c r="D387" s="2">
        <v>46174</v>
      </c>
      <c r="E387" s="2">
        <v>46122</v>
      </c>
      <c r="F387" s="2">
        <v>46152</v>
      </c>
      <c r="G387" t="s">
        <v>464</v>
      </c>
      <c r="H387" t="s">
        <v>477</v>
      </c>
      <c r="I387" t="s">
        <v>43</v>
      </c>
      <c r="J387">
        <v>44</v>
      </c>
      <c r="K387">
        <v>67</v>
      </c>
      <c r="L387">
        <f t="shared" si="37"/>
        <v>23</v>
      </c>
      <c r="M387">
        <v>23</v>
      </c>
      <c r="N387">
        <f>IF(L387&lt;&gt;M387,1,0)</f>
        <v>0</v>
      </c>
      <c r="O387">
        <v>23</v>
      </c>
      <c r="R387">
        <v>25</v>
      </c>
      <c r="S387">
        <v>3</v>
      </c>
      <c r="T387" s="3">
        <f t="shared" si="38"/>
        <v>51</v>
      </c>
      <c r="U387" s="3" t="str">
        <f t="shared" si="39"/>
        <v>USTED ESTÁ AL DÍA</v>
      </c>
      <c r="V387" s="3" t="s">
        <v>27</v>
      </c>
      <c r="W387">
        <v>20</v>
      </c>
      <c r="Y387">
        <f t="shared" si="40"/>
        <v>71</v>
      </c>
    </row>
    <row r="388" spans="1:25" ht="15.75" hidden="1" customHeight="1" x14ac:dyDescent="0.35">
      <c r="A388" s="3">
        <v>17282</v>
      </c>
      <c r="B388" s="3" t="s">
        <v>23</v>
      </c>
      <c r="C388" s="2">
        <v>46179</v>
      </c>
      <c r="D388" s="2">
        <v>46174</v>
      </c>
      <c r="E388" s="2">
        <v>46122</v>
      </c>
      <c r="F388" s="2">
        <v>46152</v>
      </c>
      <c r="G388" t="s">
        <v>487</v>
      </c>
      <c r="H388" t="s">
        <v>477</v>
      </c>
      <c r="I388" t="s">
        <v>45</v>
      </c>
      <c r="J388">
        <v>1310</v>
      </c>
      <c r="K388">
        <v>1320</v>
      </c>
      <c r="L388">
        <f t="shared" si="37"/>
        <v>10</v>
      </c>
      <c r="M388">
        <v>10</v>
      </c>
      <c r="N388">
        <f>IF(L388&lt;&gt;M388,1,0)</f>
        <v>0</v>
      </c>
      <c r="O388">
        <v>10</v>
      </c>
      <c r="S388">
        <v>3</v>
      </c>
      <c r="T388" s="3">
        <f t="shared" si="38"/>
        <v>13</v>
      </c>
      <c r="U388" s="3" t="str">
        <f t="shared" si="39"/>
        <v>USTED ESTÁ AL DÍA</v>
      </c>
      <c r="V388" s="3" t="s">
        <v>27</v>
      </c>
      <c r="Y388">
        <f t="shared" si="40"/>
        <v>13</v>
      </c>
    </row>
    <row r="389" spans="1:25" ht="15.75" hidden="1" customHeight="1" x14ac:dyDescent="0.35">
      <c r="A389" s="3">
        <v>17283</v>
      </c>
      <c r="B389" s="3" t="s">
        <v>23</v>
      </c>
      <c r="C389" s="2">
        <v>46179</v>
      </c>
      <c r="D389" s="2">
        <v>46174</v>
      </c>
      <c r="E389" s="2">
        <v>46122</v>
      </c>
      <c r="F389" s="2">
        <v>46152</v>
      </c>
      <c r="G389" t="s">
        <v>488</v>
      </c>
      <c r="H389" t="s">
        <v>477</v>
      </c>
      <c r="I389" t="s">
        <v>47</v>
      </c>
      <c r="J389">
        <v>245</v>
      </c>
      <c r="K389">
        <v>247</v>
      </c>
      <c r="L389">
        <f t="shared" si="37"/>
        <v>2</v>
      </c>
      <c r="M389">
        <v>5</v>
      </c>
      <c r="O389">
        <v>5</v>
      </c>
      <c r="S389">
        <v>3</v>
      </c>
      <c r="T389" s="3">
        <f t="shared" si="38"/>
        <v>8</v>
      </c>
      <c r="U389" s="3" t="str">
        <f t="shared" si="39"/>
        <v>USTED ESTÁ AL DÍA</v>
      </c>
      <c r="V389" s="3" t="s">
        <v>27</v>
      </c>
      <c r="W389">
        <v>30</v>
      </c>
      <c r="Y389">
        <f t="shared" si="40"/>
        <v>38</v>
      </c>
    </row>
    <row r="390" spans="1:25" ht="15.75" hidden="1" customHeight="1" x14ac:dyDescent="0.35">
      <c r="A390" s="3">
        <v>17284</v>
      </c>
      <c r="B390" s="3" t="s">
        <v>23</v>
      </c>
      <c r="C390" s="2">
        <v>46179</v>
      </c>
      <c r="D390" s="2">
        <v>46174</v>
      </c>
      <c r="E390" s="2">
        <v>46122</v>
      </c>
      <c r="F390" s="2">
        <v>46152</v>
      </c>
      <c r="G390" t="s">
        <v>489</v>
      </c>
      <c r="H390" t="s">
        <v>477</v>
      </c>
      <c r="I390" t="s">
        <v>66</v>
      </c>
      <c r="J390">
        <v>11</v>
      </c>
      <c r="K390">
        <v>17</v>
      </c>
      <c r="L390">
        <f t="shared" si="37"/>
        <v>6</v>
      </c>
      <c r="M390">
        <v>6</v>
      </c>
      <c r="N390">
        <f>IF(L390&lt;&gt;M390,1,0)</f>
        <v>0</v>
      </c>
      <c r="O390">
        <v>6</v>
      </c>
      <c r="S390">
        <v>3</v>
      </c>
      <c r="T390" s="3">
        <f t="shared" si="38"/>
        <v>9</v>
      </c>
      <c r="U390" s="3" t="str">
        <f t="shared" si="39"/>
        <v>USTED ESTÁ AL DÍA</v>
      </c>
      <c r="V390" s="3" t="s">
        <v>27</v>
      </c>
      <c r="W390">
        <v>50</v>
      </c>
      <c r="X390">
        <v>50</v>
      </c>
      <c r="Y390">
        <f t="shared" si="40"/>
        <v>109</v>
      </c>
    </row>
    <row r="391" spans="1:25" ht="15.75" hidden="1" customHeight="1" x14ac:dyDescent="0.35">
      <c r="A391" s="3">
        <v>17285</v>
      </c>
      <c r="B391" s="3" t="s">
        <v>23</v>
      </c>
      <c r="C391" s="2">
        <v>46179</v>
      </c>
      <c r="D391" s="2">
        <v>46174</v>
      </c>
      <c r="E391" s="2">
        <v>46122</v>
      </c>
      <c r="F391" s="2">
        <v>46152</v>
      </c>
      <c r="G391" t="s">
        <v>490</v>
      </c>
      <c r="H391" t="s">
        <v>477</v>
      </c>
      <c r="I391" t="s">
        <v>68</v>
      </c>
      <c r="J391">
        <v>36</v>
      </c>
      <c r="K391">
        <v>56</v>
      </c>
      <c r="L391">
        <f t="shared" si="37"/>
        <v>20</v>
      </c>
      <c r="M391">
        <v>20</v>
      </c>
      <c r="N391">
        <f>IF(L391&lt;&gt;M391,1,0)</f>
        <v>0</v>
      </c>
      <c r="O391">
        <v>20</v>
      </c>
      <c r="S391">
        <v>3</v>
      </c>
      <c r="T391" s="3">
        <f t="shared" si="38"/>
        <v>23</v>
      </c>
      <c r="U391" s="3" t="str">
        <f t="shared" si="39"/>
        <v>USTED ESTÁ AL DÍA</v>
      </c>
      <c r="V391" s="3" t="s">
        <v>27</v>
      </c>
      <c r="Y391">
        <f t="shared" si="40"/>
        <v>23</v>
      </c>
    </row>
    <row r="392" spans="1:25" ht="15.75" hidden="1" customHeight="1" x14ac:dyDescent="0.35">
      <c r="A392" s="3">
        <v>17286</v>
      </c>
      <c r="B392" s="3" t="s">
        <v>23</v>
      </c>
      <c r="C392" s="2">
        <v>46179</v>
      </c>
      <c r="D392" s="2">
        <v>46174</v>
      </c>
      <c r="E392" s="2">
        <v>46122</v>
      </c>
      <c r="F392" s="2">
        <v>46152</v>
      </c>
      <c r="G392" t="s">
        <v>491</v>
      </c>
      <c r="H392" t="s">
        <v>477</v>
      </c>
      <c r="I392" t="s">
        <v>97</v>
      </c>
      <c r="J392">
        <v>648</v>
      </c>
      <c r="K392">
        <v>658</v>
      </c>
      <c r="L392">
        <f t="shared" si="37"/>
        <v>10</v>
      </c>
      <c r="M392">
        <v>10</v>
      </c>
      <c r="N392">
        <f>IF(L392&lt;&gt;M392,1,0)</f>
        <v>0</v>
      </c>
      <c r="O392">
        <v>10</v>
      </c>
      <c r="S392">
        <v>3</v>
      </c>
      <c r="T392" s="3">
        <f t="shared" si="38"/>
        <v>13</v>
      </c>
      <c r="U392" s="3" t="str">
        <f t="shared" si="39"/>
        <v>USTED ESTÁ AL DÍA</v>
      </c>
      <c r="V392" s="3" t="s">
        <v>27</v>
      </c>
      <c r="Y392">
        <f t="shared" si="40"/>
        <v>13</v>
      </c>
    </row>
    <row r="393" spans="1:25" ht="15.75" hidden="1" customHeight="1" x14ac:dyDescent="0.35">
      <c r="A393" s="3">
        <v>17287</v>
      </c>
      <c r="B393" s="3" t="s">
        <v>23</v>
      </c>
      <c r="C393" s="2">
        <v>46179</v>
      </c>
      <c r="D393" s="2">
        <v>46174</v>
      </c>
      <c r="E393" s="2">
        <v>46122</v>
      </c>
      <c r="F393" s="2">
        <v>46152</v>
      </c>
      <c r="G393" t="s">
        <v>492</v>
      </c>
      <c r="H393" t="s">
        <v>477</v>
      </c>
      <c r="I393" t="s">
        <v>101</v>
      </c>
      <c r="J393">
        <v>1030</v>
      </c>
      <c r="K393">
        <v>1050</v>
      </c>
      <c r="L393">
        <f t="shared" si="37"/>
        <v>20</v>
      </c>
      <c r="M393">
        <v>20</v>
      </c>
      <c r="N393">
        <f>IF(L393&lt;&gt;M393,1,0)</f>
        <v>0</v>
      </c>
      <c r="O393">
        <v>20</v>
      </c>
      <c r="S393">
        <v>3</v>
      </c>
      <c r="T393" s="3">
        <f t="shared" si="38"/>
        <v>23</v>
      </c>
      <c r="U393" s="3" t="str">
        <f t="shared" si="39"/>
        <v>USTED ESTÁ AL DÍA</v>
      </c>
      <c r="V393" s="3" t="s">
        <v>27</v>
      </c>
      <c r="W393">
        <v>30</v>
      </c>
      <c r="Y393">
        <f t="shared" si="40"/>
        <v>53</v>
      </c>
    </row>
    <row r="394" spans="1:25" ht="15.75" hidden="1" customHeight="1" x14ac:dyDescent="0.35">
      <c r="A394" s="3">
        <v>17288</v>
      </c>
      <c r="B394" s="3" t="s">
        <v>23</v>
      </c>
      <c r="C394" s="2">
        <v>46179</v>
      </c>
      <c r="D394" s="2">
        <v>46174</v>
      </c>
      <c r="E394" s="2">
        <v>46122</v>
      </c>
      <c r="F394" s="2">
        <v>46152</v>
      </c>
      <c r="G394" t="s">
        <v>493</v>
      </c>
      <c r="H394" t="s">
        <v>477</v>
      </c>
      <c r="I394" t="s">
        <v>79</v>
      </c>
      <c r="J394">
        <v>24</v>
      </c>
      <c r="K394">
        <v>29</v>
      </c>
      <c r="L394">
        <f t="shared" si="37"/>
        <v>5</v>
      </c>
      <c r="M394">
        <v>5</v>
      </c>
      <c r="O394">
        <v>5</v>
      </c>
      <c r="P394">
        <v>2</v>
      </c>
      <c r="S394">
        <v>3</v>
      </c>
      <c r="T394" s="3">
        <f t="shared" si="38"/>
        <v>10</v>
      </c>
      <c r="U394" s="3" t="str">
        <f t="shared" si="39"/>
        <v>USTED ESTÁ AL DÍA</v>
      </c>
      <c r="V394" s="3" t="s">
        <v>27</v>
      </c>
      <c r="Y394">
        <f t="shared" si="40"/>
        <v>10</v>
      </c>
    </row>
    <row r="395" spans="1:25" ht="15.75" hidden="1" customHeight="1" x14ac:dyDescent="0.35">
      <c r="A395" s="3">
        <v>17289</v>
      </c>
      <c r="B395" s="3" t="s">
        <v>23</v>
      </c>
      <c r="C395" s="2">
        <v>46179</v>
      </c>
      <c r="D395" s="2">
        <v>46174</v>
      </c>
      <c r="E395" s="2">
        <v>46122</v>
      </c>
      <c r="F395" s="2">
        <v>46152</v>
      </c>
      <c r="G395" t="s">
        <v>440</v>
      </c>
      <c r="H395" t="s">
        <v>477</v>
      </c>
      <c r="I395" t="s">
        <v>93</v>
      </c>
      <c r="J395">
        <v>8</v>
      </c>
      <c r="K395">
        <v>11</v>
      </c>
      <c r="L395">
        <f t="shared" si="37"/>
        <v>3</v>
      </c>
      <c r="M395">
        <v>5</v>
      </c>
      <c r="O395">
        <v>5</v>
      </c>
      <c r="R395">
        <v>25</v>
      </c>
      <c r="S395">
        <v>3</v>
      </c>
      <c r="T395" s="3">
        <f t="shared" si="38"/>
        <v>33</v>
      </c>
      <c r="U395" s="3" t="str">
        <f t="shared" si="39"/>
        <v>USTED ESTÁ AL DÍA</v>
      </c>
      <c r="V395" s="3" t="s">
        <v>27</v>
      </c>
      <c r="W395">
        <v>20</v>
      </c>
      <c r="Y395">
        <f t="shared" si="40"/>
        <v>53</v>
      </c>
    </row>
    <row r="396" spans="1:25" ht="15.75" hidden="1" customHeight="1" x14ac:dyDescent="0.35">
      <c r="A396" s="3">
        <v>17290</v>
      </c>
      <c r="B396" s="3" t="s">
        <v>23</v>
      </c>
      <c r="C396" s="2">
        <v>46179</v>
      </c>
      <c r="D396" s="2">
        <v>46174</v>
      </c>
      <c r="E396" s="2">
        <v>46122</v>
      </c>
      <c r="F396" s="2">
        <v>46152</v>
      </c>
      <c r="G396" t="s">
        <v>494</v>
      </c>
      <c r="H396" t="s">
        <v>477</v>
      </c>
      <c r="I396" t="s">
        <v>95</v>
      </c>
      <c r="J396">
        <v>376</v>
      </c>
      <c r="K396">
        <v>390</v>
      </c>
      <c r="L396">
        <f t="shared" si="37"/>
        <v>14</v>
      </c>
      <c r="M396">
        <v>14</v>
      </c>
      <c r="N396">
        <f t="shared" ref="N396:N401" si="41">IF(L396&lt;&gt;M396,1,0)</f>
        <v>0</v>
      </c>
      <c r="O396">
        <v>14</v>
      </c>
      <c r="S396">
        <v>3</v>
      </c>
      <c r="T396" s="3">
        <f t="shared" si="38"/>
        <v>17</v>
      </c>
      <c r="U396" s="3" t="str">
        <f t="shared" si="39"/>
        <v>USTED ESTÁ AL DÍA</v>
      </c>
      <c r="V396" s="3" t="s">
        <v>27</v>
      </c>
      <c r="Y396">
        <f t="shared" si="40"/>
        <v>17</v>
      </c>
    </row>
    <row r="397" spans="1:25" ht="15.75" hidden="1" customHeight="1" x14ac:dyDescent="0.35">
      <c r="A397" s="3">
        <v>17291</v>
      </c>
      <c r="B397" s="3" t="s">
        <v>23</v>
      </c>
      <c r="C397" s="2">
        <v>46179</v>
      </c>
      <c r="D397" s="2">
        <v>46174</v>
      </c>
      <c r="E397" s="2">
        <v>46122</v>
      </c>
      <c r="F397" s="2">
        <v>46152</v>
      </c>
      <c r="G397" t="s">
        <v>495</v>
      </c>
      <c r="H397" t="s">
        <v>477</v>
      </c>
      <c r="I397" t="s">
        <v>91</v>
      </c>
      <c r="J397">
        <v>16</v>
      </c>
      <c r="K397">
        <v>23</v>
      </c>
      <c r="L397">
        <f t="shared" si="37"/>
        <v>7</v>
      </c>
      <c r="M397">
        <v>7</v>
      </c>
      <c r="N397">
        <f t="shared" si="41"/>
        <v>0</v>
      </c>
      <c r="O397">
        <v>7</v>
      </c>
      <c r="R397">
        <v>25</v>
      </c>
      <c r="S397">
        <v>3</v>
      </c>
      <c r="T397" s="3">
        <f t="shared" si="38"/>
        <v>35</v>
      </c>
      <c r="U397" s="3" t="str">
        <f t="shared" si="39"/>
        <v>USTED ESTÁ AL DÍA</v>
      </c>
      <c r="V397" s="3" t="s">
        <v>27</v>
      </c>
      <c r="X397">
        <v>50</v>
      </c>
      <c r="Y397">
        <f t="shared" si="40"/>
        <v>85</v>
      </c>
    </row>
    <row r="398" spans="1:25" ht="15.75" hidden="1" customHeight="1" x14ac:dyDescent="0.35">
      <c r="A398" s="3">
        <v>17292</v>
      </c>
      <c r="B398" s="3" t="s">
        <v>23</v>
      </c>
      <c r="C398" s="2">
        <v>46179</v>
      </c>
      <c r="D398" s="2">
        <v>46174</v>
      </c>
      <c r="E398" s="2">
        <v>46122</v>
      </c>
      <c r="F398" s="2">
        <v>46152</v>
      </c>
      <c r="G398" t="s">
        <v>496</v>
      </c>
      <c r="H398" t="s">
        <v>477</v>
      </c>
      <c r="I398" t="s">
        <v>84</v>
      </c>
      <c r="J398">
        <v>211</v>
      </c>
      <c r="K398">
        <v>229</v>
      </c>
      <c r="L398">
        <f t="shared" si="37"/>
        <v>18</v>
      </c>
      <c r="M398">
        <v>18</v>
      </c>
      <c r="N398">
        <f t="shared" si="41"/>
        <v>0</v>
      </c>
      <c r="O398">
        <v>18</v>
      </c>
      <c r="S398">
        <v>3</v>
      </c>
      <c r="T398" s="3">
        <f t="shared" si="38"/>
        <v>21</v>
      </c>
      <c r="U398" s="3" t="str">
        <f t="shared" si="39"/>
        <v>USTED ESTÁ AL DÍA</v>
      </c>
      <c r="V398" s="3" t="s">
        <v>27</v>
      </c>
      <c r="W398">
        <v>30</v>
      </c>
      <c r="Y398">
        <f t="shared" si="40"/>
        <v>51</v>
      </c>
    </row>
    <row r="399" spans="1:25" ht="15.75" hidden="1" customHeight="1" x14ac:dyDescent="0.35">
      <c r="A399" s="3">
        <v>17293</v>
      </c>
      <c r="B399" s="3" t="s">
        <v>23</v>
      </c>
      <c r="C399" s="2">
        <v>46179</v>
      </c>
      <c r="D399" s="2">
        <v>46174</v>
      </c>
      <c r="E399" s="2">
        <v>46122</v>
      </c>
      <c r="F399" s="2">
        <v>46152</v>
      </c>
      <c r="G399" t="s">
        <v>497</v>
      </c>
      <c r="H399" t="s">
        <v>477</v>
      </c>
      <c r="I399" t="s">
        <v>124</v>
      </c>
      <c r="J399">
        <v>1186</v>
      </c>
      <c r="K399">
        <v>1199</v>
      </c>
      <c r="L399">
        <f t="shared" si="37"/>
        <v>13</v>
      </c>
      <c r="M399">
        <v>13</v>
      </c>
      <c r="N399">
        <f t="shared" si="41"/>
        <v>0</v>
      </c>
      <c r="O399">
        <v>13</v>
      </c>
      <c r="S399">
        <v>3</v>
      </c>
      <c r="T399" s="3">
        <f t="shared" si="38"/>
        <v>16</v>
      </c>
      <c r="U399" s="3" t="str">
        <f t="shared" si="39"/>
        <v>USTED ESTÁ AL DÍA</v>
      </c>
      <c r="V399" s="3" t="s">
        <v>27</v>
      </c>
      <c r="W399">
        <v>50</v>
      </c>
      <c r="X399">
        <v>50</v>
      </c>
      <c r="Y399">
        <f t="shared" si="40"/>
        <v>116</v>
      </c>
    </row>
    <row r="400" spans="1:25" ht="15.75" hidden="1" customHeight="1" x14ac:dyDescent="0.35">
      <c r="A400" s="3">
        <v>17294</v>
      </c>
      <c r="B400" s="3" t="s">
        <v>23</v>
      </c>
      <c r="C400" s="2">
        <v>46179</v>
      </c>
      <c r="D400" s="2">
        <v>46174</v>
      </c>
      <c r="E400" s="2">
        <v>46122</v>
      </c>
      <c r="F400" s="2">
        <v>46152</v>
      </c>
      <c r="G400" t="s">
        <v>498</v>
      </c>
      <c r="H400" t="s">
        <v>477</v>
      </c>
      <c r="I400" t="s">
        <v>144</v>
      </c>
      <c r="J400">
        <v>44</v>
      </c>
      <c r="K400">
        <v>70</v>
      </c>
      <c r="L400">
        <f t="shared" si="37"/>
        <v>26</v>
      </c>
      <c r="M400">
        <v>26</v>
      </c>
      <c r="N400">
        <f t="shared" si="41"/>
        <v>0</v>
      </c>
      <c r="O400">
        <v>26</v>
      </c>
      <c r="R400">
        <v>25</v>
      </c>
      <c r="S400">
        <v>3</v>
      </c>
      <c r="T400" s="3">
        <f t="shared" si="38"/>
        <v>54</v>
      </c>
      <c r="U400" s="3" t="str">
        <f t="shared" si="39"/>
        <v>USTED ESTÁ AL DÍA</v>
      </c>
      <c r="V400" s="3" t="s">
        <v>27</v>
      </c>
      <c r="W400">
        <v>50</v>
      </c>
      <c r="Y400">
        <f t="shared" si="40"/>
        <v>104</v>
      </c>
    </row>
    <row r="401" spans="1:25" ht="15.75" hidden="1" customHeight="1" x14ac:dyDescent="0.35">
      <c r="A401" s="3">
        <v>17295</v>
      </c>
      <c r="B401" s="3" t="s">
        <v>23</v>
      </c>
      <c r="C401" s="2">
        <v>46179</v>
      </c>
      <c r="D401" s="2">
        <v>46174</v>
      </c>
      <c r="E401" s="2">
        <v>46122</v>
      </c>
      <c r="F401" s="2">
        <v>46152</v>
      </c>
      <c r="G401" t="s">
        <v>499</v>
      </c>
      <c r="H401" t="s">
        <v>477</v>
      </c>
      <c r="I401" t="s">
        <v>150</v>
      </c>
      <c r="J401">
        <v>12</v>
      </c>
      <c r="K401">
        <v>23</v>
      </c>
      <c r="L401">
        <f t="shared" si="37"/>
        <v>11</v>
      </c>
      <c r="M401">
        <v>11</v>
      </c>
      <c r="N401">
        <f t="shared" si="41"/>
        <v>0</v>
      </c>
      <c r="O401">
        <v>11</v>
      </c>
      <c r="R401">
        <v>25</v>
      </c>
      <c r="S401">
        <v>3</v>
      </c>
      <c r="T401" s="3">
        <f t="shared" si="38"/>
        <v>39</v>
      </c>
      <c r="U401" s="3" t="str">
        <f t="shared" si="39"/>
        <v>USTED ESTÁ AL DÍA</v>
      </c>
      <c r="V401" s="3" t="s">
        <v>27</v>
      </c>
      <c r="W401">
        <v>30</v>
      </c>
      <c r="Y401">
        <f t="shared" si="40"/>
        <v>69</v>
      </c>
    </row>
    <row r="402" spans="1:25" ht="15.75" hidden="1" customHeight="1" x14ac:dyDescent="0.35">
      <c r="A402" s="3">
        <v>17296</v>
      </c>
      <c r="B402" s="3" t="s">
        <v>23</v>
      </c>
      <c r="C402" s="2">
        <v>46179</v>
      </c>
      <c r="D402" s="2">
        <v>46174</v>
      </c>
      <c r="E402" s="2">
        <v>46122</v>
      </c>
      <c r="F402" s="2">
        <v>46152</v>
      </c>
      <c r="G402" t="s">
        <v>500</v>
      </c>
      <c r="H402" t="s">
        <v>477</v>
      </c>
      <c r="I402" t="s">
        <v>152</v>
      </c>
      <c r="J402">
        <v>0</v>
      </c>
      <c r="K402">
        <v>1</v>
      </c>
      <c r="L402">
        <f t="shared" si="37"/>
        <v>1</v>
      </c>
      <c r="M402">
        <v>5</v>
      </c>
      <c r="O402">
        <v>5</v>
      </c>
      <c r="R402">
        <v>25</v>
      </c>
      <c r="S402">
        <v>3</v>
      </c>
      <c r="T402" s="3">
        <f t="shared" si="38"/>
        <v>33</v>
      </c>
      <c r="U402" s="3" t="str">
        <f t="shared" si="39"/>
        <v>USTED ESTÁ AL DÍA</v>
      </c>
      <c r="V402" s="3" t="s">
        <v>27</v>
      </c>
      <c r="W402">
        <v>50</v>
      </c>
      <c r="Y402">
        <f t="shared" si="40"/>
        <v>83</v>
      </c>
    </row>
    <row r="403" spans="1:25" ht="15.75" hidden="1" customHeight="1" x14ac:dyDescent="0.35">
      <c r="A403" s="3">
        <v>17297</v>
      </c>
      <c r="B403" s="3" t="s">
        <v>23</v>
      </c>
      <c r="C403" s="2">
        <v>46179</v>
      </c>
      <c r="D403" s="2">
        <v>46174</v>
      </c>
      <c r="E403" s="2">
        <v>46122</v>
      </c>
      <c r="F403" s="2">
        <v>46152</v>
      </c>
      <c r="G403" t="s">
        <v>501</v>
      </c>
      <c r="H403" t="s">
        <v>477</v>
      </c>
      <c r="I403" t="s">
        <v>154</v>
      </c>
      <c r="J403">
        <v>1185</v>
      </c>
      <c r="K403">
        <v>1196</v>
      </c>
      <c r="L403">
        <f t="shared" si="37"/>
        <v>11</v>
      </c>
      <c r="M403">
        <v>11</v>
      </c>
      <c r="N403">
        <f>IF(L403&lt;&gt;M403,1,0)</f>
        <v>0</v>
      </c>
      <c r="O403">
        <v>11</v>
      </c>
      <c r="S403">
        <v>3</v>
      </c>
      <c r="T403" s="3">
        <f t="shared" si="38"/>
        <v>14</v>
      </c>
      <c r="U403" s="3" t="str">
        <f t="shared" si="39"/>
        <v>USTED ESTÁ AL DÍA</v>
      </c>
      <c r="V403" s="3" t="s">
        <v>27</v>
      </c>
      <c r="W403">
        <v>50</v>
      </c>
      <c r="X403">
        <v>50</v>
      </c>
      <c r="Y403">
        <f t="shared" si="40"/>
        <v>114</v>
      </c>
    </row>
    <row r="404" spans="1:25" ht="15.75" hidden="1" customHeight="1" x14ac:dyDescent="0.35">
      <c r="A404" s="3">
        <v>17298</v>
      </c>
      <c r="B404" s="3" t="s">
        <v>23</v>
      </c>
      <c r="C404" s="2">
        <v>46179</v>
      </c>
      <c r="D404" s="2">
        <v>46174</v>
      </c>
      <c r="E404" s="2">
        <v>46122</v>
      </c>
      <c r="F404" s="2">
        <v>46152</v>
      </c>
      <c r="G404" t="s">
        <v>502</v>
      </c>
      <c r="H404" t="s">
        <v>477</v>
      </c>
      <c r="I404" t="s">
        <v>156</v>
      </c>
      <c r="J404">
        <v>4</v>
      </c>
      <c r="K404">
        <v>9</v>
      </c>
      <c r="L404">
        <f t="shared" si="37"/>
        <v>5</v>
      </c>
      <c r="M404">
        <v>5</v>
      </c>
      <c r="O404">
        <v>5</v>
      </c>
      <c r="S404">
        <v>3</v>
      </c>
      <c r="T404" s="3">
        <f t="shared" si="38"/>
        <v>8</v>
      </c>
      <c r="U404" s="3" t="str">
        <f t="shared" si="39"/>
        <v>USTED ESTÁ AL DÍA</v>
      </c>
      <c r="V404" s="3" t="s">
        <v>27</v>
      </c>
      <c r="Y404">
        <f t="shared" si="40"/>
        <v>8</v>
      </c>
    </row>
    <row r="405" spans="1:25" ht="15.75" hidden="1" customHeight="1" x14ac:dyDescent="0.35">
      <c r="A405" s="3">
        <v>17299</v>
      </c>
      <c r="B405" s="3" t="s">
        <v>23</v>
      </c>
      <c r="C405" s="2">
        <v>46179</v>
      </c>
      <c r="D405" s="2">
        <v>46174</v>
      </c>
      <c r="E405" s="2">
        <v>46122</v>
      </c>
      <c r="F405" s="2">
        <v>46152</v>
      </c>
      <c r="G405" t="s">
        <v>503</v>
      </c>
      <c r="H405" t="s">
        <v>477</v>
      </c>
      <c r="I405" t="s">
        <v>178</v>
      </c>
      <c r="J405">
        <v>188</v>
      </c>
      <c r="K405">
        <v>193</v>
      </c>
      <c r="L405">
        <f t="shared" si="37"/>
        <v>5</v>
      </c>
      <c r="M405">
        <v>5</v>
      </c>
      <c r="O405">
        <v>5</v>
      </c>
      <c r="S405">
        <v>3</v>
      </c>
      <c r="T405" s="3">
        <f t="shared" si="38"/>
        <v>8</v>
      </c>
      <c r="U405" s="3" t="str">
        <f t="shared" si="39"/>
        <v>USTED ESTÁ AL DÍA</v>
      </c>
      <c r="V405" s="3" t="s">
        <v>27</v>
      </c>
      <c r="W405">
        <v>20</v>
      </c>
      <c r="X405">
        <v>50</v>
      </c>
      <c r="Y405">
        <f t="shared" si="40"/>
        <v>78</v>
      </c>
    </row>
    <row r="406" spans="1:25" ht="15.75" hidden="1" customHeight="1" x14ac:dyDescent="0.35">
      <c r="A406" s="3">
        <v>17300</v>
      </c>
      <c r="B406" s="3" t="s">
        <v>23</v>
      </c>
      <c r="C406" s="2">
        <v>46179</v>
      </c>
      <c r="D406" s="2">
        <v>46174</v>
      </c>
      <c r="E406" s="2">
        <v>46122</v>
      </c>
      <c r="F406" s="2">
        <v>46152</v>
      </c>
      <c r="G406" t="s">
        <v>504</v>
      </c>
      <c r="H406" t="s">
        <v>505</v>
      </c>
      <c r="I406" t="s">
        <v>33</v>
      </c>
      <c r="J406">
        <v>387</v>
      </c>
      <c r="K406">
        <v>421</v>
      </c>
      <c r="L406">
        <f t="shared" si="37"/>
        <v>34</v>
      </c>
      <c r="M406">
        <v>34</v>
      </c>
      <c r="N406">
        <f t="shared" ref="N406:N416" si="42">IF(L406&lt;&gt;M406,1,0)</f>
        <v>0</v>
      </c>
      <c r="O406">
        <v>34</v>
      </c>
      <c r="P406">
        <v>44</v>
      </c>
      <c r="S406">
        <v>3</v>
      </c>
      <c r="T406" s="3">
        <f t="shared" si="38"/>
        <v>81</v>
      </c>
      <c r="U406" s="3" t="str">
        <f t="shared" si="39"/>
        <v>USTED NO ESTÁ AL DÍA</v>
      </c>
      <c r="V406" s="3" t="s">
        <v>27</v>
      </c>
      <c r="Y406">
        <f t="shared" si="40"/>
        <v>81</v>
      </c>
    </row>
    <row r="407" spans="1:25" ht="15.75" hidden="1" customHeight="1" x14ac:dyDescent="0.35">
      <c r="A407" s="3">
        <v>17301</v>
      </c>
      <c r="B407" s="3" t="s">
        <v>23</v>
      </c>
      <c r="C407" s="2">
        <v>46179</v>
      </c>
      <c r="D407" s="2">
        <v>46174</v>
      </c>
      <c r="E407" s="2">
        <v>46122</v>
      </c>
      <c r="F407" s="2">
        <v>46152</v>
      </c>
      <c r="G407" t="s">
        <v>506</v>
      </c>
      <c r="H407" t="s">
        <v>505</v>
      </c>
      <c r="I407" t="s">
        <v>66</v>
      </c>
      <c r="J407">
        <v>45</v>
      </c>
      <c r="K407">
        <v>60</v>
      </c>
      <c r="L407">
        <f t="shared" si="37"/>
        <v>15</v>
      </c>
      <c r="M407">
        <v>15</v>
      </c>
      <c r="N407">
        <f t="shared" si="42"/>
        <v>0</v>
      </c>
      <c r="O407">
        <v>15</v>
      </c>
      <c r="P407">
        <v>24</v>
      </c>
      <c r="R407">
        <v>25</v>
      </c>
      <c r="S407">
        <v>3</v>
      </c>
      <c r="T407" s="3">
        <f t="shared" si="38"/>
        <v>67</v>
      </c>
      <c r="U407" s="3" t="str">
        <f t="shared" si="39"/>
        <v>USTED NO ESTÁ AL DÍA</v>
      </c>
      <c r="V407" s="3" t="s">
        <v>27</v>
      </c>
      <c r="X407">
        <v>50</v>
      </c>
      <c r="Y407">
        <f t="shared" si="40"/>
        <v>117</v>
      </c>
    </row>
    <row r="408" spans="1:25" ht="15.75" hidden="1" customHeight="1" x14ac:dyDescent="0.35">
      <c r="A408" s="3">
        <v>17302</v>
      </c>
      <c r="B408" s="3" t="s">
        <v>23</v>
      </c>
      <c r="C408" s="2">
        <v>46179</v>
      </c>
      <c r="D408" s="2">
        <v>46174</v>
      </c>
      <c r="E408" s="2">
        <v>46122</v>
      </c>
      <c r="F408" s="2">
        <v>46152</v>
      </c>
      <c r="G408" t="s">
        <v>507</v>
      </c>
      <c r="H408" t="s">
        <v>505</v>
      </c>
      <c r="I408" t="s">
        <v>26</v>
      </c>
      <c r="J408">
        <v>97</v>
      </c>
      <c r="K408">
        <v>115</v>
      </c>
      <c r="L408">
        <f t="shared" si="37"/>
        <v>18</v>
      </c>
      <c r="M408">
        <v>18</v>
      </c>
      <c r="N408">
        <f t="shared" si="42"/>
        <v>0</v>
      </c>
      <c r="O408">
        <v>18</v>
      </c>
      <c r="S408">
        <v>3</v>
      </c>
      <c r="T408" s="3">
        <f t="shared" si="38"/>
        <v>21</v>
      </c>
      <c r="U408" s="3" t="str">
        <f t="shared" si="39"/>
        <v>USTED ESTÁ AL DÍA</v>
      </c>
      <c r="V408" s="3" t="s">
        <v>27</v>
      </c>
      <c r="Y408">
        <f t="shared" si="40"/>
        <v>21</v>
      </c>
    </row>
    <row r="409" spans="1:25" ht="15.75" hidden="1" customHeight="1" x14ac:dyDescent="0.35">
      <c r="A409" s="3">
        <v>17303</v>
      </c>
      <c r="B409" s="3" t="s">
        <v>23</v>
      </c>
      <c r="C409" s="2">
        <v>46179</v>
      </c>
      <c r="D409" s="2">
        <v>46174</v>
      </c>
      <c r="E409" s="2">
        <v>46122</v>
      </c>
      <c r="F409" s="2">
        <v>46152</v>
      </c>
      <c r="G409" t="s">
        <v>508</v>
      </c>
      <c r="H409" t="s">
        <v>505</v>
      </c>
      <c r="I409" t="s">
        <v>29</v>
      </c>
      <c r="J409">
        <v>615</v>
      </c>
      <c r="K409">
        <v>629</v>
      </c>
      <c r="L409">
        <f t="shared" si="37"/>
        <v>14</v>
      </c>
      <c r="M409">
        <v>14</v>
      </c>
      <c r="N409">
        <f t="shared" si="42"/>
        <v>0</v>
      </c>
      <c r="O409">
        <v>14</v>
      </c>
      <c r="S409">
        <v>3</v>
      </c>
      <c r="T409" s="3">
        <f t="shared" si="38"/>
        <v>17</v>
      </c>
      <c r="U409" s="3" t="str">
        <f t="shared" si="39"/>
        <v>USTED ESTÁ AL DÍA</v>
      </c>
      <c r="V409" s="3" t="s">
        <v>27</v>
      </c>
      <c r="Y409">
        <f t="shared" si="40"/>
        <v>17</v>
      </c>
    </row>
    <row r="410" spans="1:25" ht="15.75" hidden="1" customHeight="1" x14ac:dyDescent="0.35">
      <c r="A410" s="3">
        <v>17304</v>
      </c>
      <c r="B410" s="3" t="s">
        <v>23</v>
      </c>
      <c r="C410" s="2">
        <v>46179</v>
      </c>
      <c r="D410" s="2">
        <v>46174</v>
      </c>
      <c r="E410" s="2">
        <v>46122</v>
      </c>
      <c r="F410" s="2">
        <v>46152</v>
      </c>
      <c r="G410" t="s">
        <v>509</v>
      </c>
      <c r="H410" t="s">
        <v>505</v>
      </c>
      <c r="I410" t="s">
        <v>31</v>
      </c>
      <c r="J410">
        <v>35</v>
      </c>
      <c r="K410">
        <v>50</v>
      </c>
      <c r="L410">
        <f t="shared" si="37"/>
        <v>15</v>
      </c>
      <c r="M410">
        <v>15</v>
      </c>
      <c r="N410">
        <f t="shared" si="42"/>
        <v>0</v>
      </c>
      <c r="O410">
        <v>15</v>
      </c>
      <c r="R410">
        <v>25</v>
      </c>
      <c r="S410">
        <v>3</v>
      </c>
      <c r="T410" s="3">
        <f t="shared" si="38"/>
        <v>43</v>
      </c>
      <c r="U410" s="3" t="str">
        <f t="shared" si="39"/>
        <v>USTED ESTÁ AL DÍA</v>
      </c>
      <c r="V410" s="3" t="s">
        <v>27</v>
      </c>
      <c r="Y410">
        <f t="shared" si="40"/>
        <v>43</v>
      </c>
    </row>
    <row r="411" spans="1:25" ht="15.75" hidden="1" customHeight="1" x14ac:dyDescent="0.35">
      <c r="A411" s="3">
        <v>17305</v>
      </c>
      <c r="B411" s="3" t="s">
        <v>23</v>
      </c>
      <c r="C411" s="2">
        <v>46179</v>
      </c>
      <c r="D411" s="2">
        <v>46174</v>
      </c>
      <c r="E411" s="2">
        <v>46122</v>
      </c>
      <c r="F411" s="2">
        <v>46152</v>
      </c>
      <c r="G411" t="s">
        <v>510</v>
      </c>
      <c r="H411" t="s">
        <v>505</v>
      </c>
      <c r="I411" t="s">
        <v>35</v>
      </c>
      <c r="J411">
        <v>179</v>
      </c>
      <c r="K411">
        <v>185</v>
      </c>
      <c r="L411">
        <f t="shared" si="37"/>
        <v>6</v>
      </c>
      <c r="M411">
        <v>6</v>
      </c>
      <c r="N411">
        <f t="shared" si="42"/>
        <v>0</v>
      </c>
      <c r="O411">
        <v>6</v>
      </c>
      <c r="S411">
        <v>3</v>
      </c>
      <c r="T411" s="3">
        <f t="shared" si="38"/>
        <v>9</v>
      </c>
      <c r="U411" s="3" t="str">
        <f t="shared" si="39"/>
        <v>USTED ESTÁ AL DÍA</v>
      </c>
      <c r="V411" s="3" t="s">
        <v>27</v>
      </c>
      <c r="W411">
        <v>50</v>
      </c>
      <c r="Y411">
        <f t="shared" si="40"/>
        <v>59</v>
      </c>
    </row>
    <row r="412" spans="1:25" ht="15.75" hidden="1" customHeight="1" x14ac:dyDescent="0.35">
      <c r="A412" s="3">
        <v>17306</v>
      </c>
      <c r="B412" s="3" t="s">
        <v>23</v>
      </c>
      <c r="C412" s="2">
        <v>46179</v>
      </c>
      <c r="D412" s="2">
        <v>46174</v>
      </c>
      <c r="E412" s="2">
        <v>46122</v>
      </c>
      <c r="F412" s="2">
        <v>46152</v>
      </c>
      <c r="G412" t="s">
        <v>511</v>
      </c>
      <c r="H412" t="s">
        <v>505</v>
      </c>
      <c r="I412" t="s">
        <v>39</v>
      </c>
      <c r="J412">
        <v>1340</v>
      </c>
      <c r="K412">
        <v>1361</v>
      </c>
      <c r="L412">
        <f t="shared" si="37"/>
        <v>21</v>
      </c>
      <c r="M412">
        <v>21</v>
      </c>
      <c r="N412">
        <f t="shared" si="42"/>
        <v>0</v>
      </c>
      <c r="O412">
        <v>21</v>
      </c>
      <c r="S412">
        <v>3</v>
      </c>
      <c r="T412" s="3">
        <f t="shared" si="38"/>
        <v>24</v>
      </c>
      <c r="U412" s="3" t="str">
        <f t="shared" si="39"/>
        <v>USTED ESTÁ AL DÍA</v>
      </c>
      <c r="V412" s="3" t="s">
        <v>27</v>
      </c>
      <c r="Y412">
        <f t="shared" si="40"/>
        <v>24</v>
      </c>
    </row>
    <row r="413" spans="1:25" ht="15.75" hidden="1" customHeight="1" x14ac:dyDescent="0.35">
      <c r="A413" s="3">
        <v>17307</v>
      </c>
      <c r="B413" s="3" t="s">
        <v>23</v>
      </c>
      <c r="C413" s="2">
        <v>46179</v>
      </c>
      <c r="D413" s="2">
        <v>46174</v>
      </c>
      <c r="E413" s="2">
        <v>46122</v>
      </c>
      <c r="F413" s="2">
        <v>46152</v>
      </c>
      <c r="G413" t="s">
        <v>512</v>
      </c>
      <c r="H413" t="s">
        <v>505</v>
      </c>
      <c r="I413" t="s">
        <v>41</v>
      </c>
      <c r="J413">
        <v>32</v>
      </c>
      <c r="K413">
        <v>47</v>
      </c>
      <c r="L413">
        <f t="shared" si="37"/>
        <v>15</v>
      </c>
      <c r="M413">
        <v>15</v>
      </c>
      <c r="N413">
        <f t="shared" si="42"/>
        <v>0</v>
      </c>
      <c r="O413">
        <v>15</v>
      </c>
      <c r="R413">
        <v>25</v>
      </c>
      <c r="S413">
        <v>3</v>
      </c>
      <c r="T413" s="3">
        <f t="shared" si="38"/>
        <v>43</v>
      </c>
      <c r="U413" s="3" t="str">
        <f t="shared" si="39"/>
        <v>USTED ESTÁ AL DÍA</v>
      </c>
      <c r="V413" s="3" t="s">
        <v>27</v>
      </c>
      <c r="W413">
        <v>50</v>
      </c>
      <c r="X413">
        <v>75</v>
      </c>
      <c r="Y413">
        <f t="shared" si="40"/>
        <v>168</v>
      </c>
    </row>
    <row r="414" spans="1:25" ht="15.75" hidden="1" customHeight="1" x14ac:dyDescent="0.35">
      <c r="A414" s="3">
        <v>17308</v>
      </c>
      <c r="B414" s="3" t="s">
        <v>23</v>
      </c>
      <c r="C414" s="2">
        <v>46179</v>
      </c>
      <c r="D414" s="2">
        <v>46174</v>
      </c>
      <c r="E414" s="2">
        <v>46122</v>
      </c>
      <c r="F414" s="2">
        <v>46152</v>
      </c>
      <c r="G414" t="s">
        <v>513</v>
      </c>
      <c r="H414" t="s">
        <v>505</v>
      </c>
      <c r="I414" t="s">
        <v>45</v>
      </c>
      <c r="J414">
        <v>739</v>
      </c>
      <c r="K414">
        <v>745</v>
      </c>
      <c r="L414">
        <f t="shared" si="37"/>
        <v>6</v>
      </c>
      <c r="M414">
        <v>6</v>
      </c>
      <c r="N414">
        <f t="shared" si="42"/>
        <v>0</v>
      </c>
      <c r="O414">
        <v>6</v>
      </c>
      <c r="S414">
        <v>3</v>
      </c>
      <c r="T414" s="3">
        <f t="shared" si="38"/>
        <v>9</v>
      </c>
      <c r="U414" s="3" t="str">
        <f t="shared" si="39"/>
        <v>USTED ESTÁ AL DÍA</v>
      </c>
      <c r="V414" s="3" t="s">
        <v>27</v>
      </c>
      <c r="W414">
        <v>50</v>
      </c>
      <c r="Y414">
        <f t="shared" si="40"/>
        <v>59</v>
      </c>
    </row>
    <row r="415" spans="1:25" ht="15.75" hidden="1" customHeight="1" x14ac:dyDescent="0.35">
      <c r="A415" s="3">
        <v>17309</v>
      </c>
      <c r="B415" s="3" t="s">
        <v>23</v>
      </c>
      <c r="C415" s="2">
        <v>46179</v>
      </c>
      <c r="D415" s="2">
        <v>46174</v>
      </c>
      <c r="E415" s="2">
        <v>46122</v>
      </c>
      <c r="F415" s="2">
        <v>46152</v>
      </c>
      <c r="G415" t="s">
        <v>514</v>
      </c>
      <c r="H415" t="s">
        <v>505</v>
      </c>
      <c r="I415" t="s">
        <v>47</v>
      </c>
      <c r="J415">
        <v>16</v>
      </c>
      <c r="K415">
        <v>26</v>
      </c>
      <c r="L415">
        <f t="shared" si="37"/>
        <v>10</v>
      </c>
      <c r="M415">
        <v>10</v>
      </c>
      <c r="N415">
        <f t="shared" si="42"/>
        <v>0</v>
      </c>
      <c r="O415">
        <v>10</v>
      </c>
      <c r="R415">
        <v>25</v>
      </c>
      <c r="S415">
        <v>3</v>
      </c>
      <c r="T415" s="3">
        <f t="shared" si="38"/>
        <v>38</v>
      </c>
      <c r="U415" s="3" t="str">
        <f t="shared" si="39"/>
        <v>USTED ESTÁ AL DÍA</v>
      </c>
      <c r="V415" s="3" t="s">
        <v>27</v>
      </c>
      <c r="X415">
        <v>75</v>
      </c>
      <c r="Y415">
        <f t="shared" si="40"/>
        <v>113</v>
      </c>
    </row>
    <row r="416" spans="1:25" ht="15.75" hidden="1" customHeight="1" x14ac:dyDescent="0.35">
      <c r="A416" s="3">
        <v>17310</v>
      </c>
      <c r="B416" s="3" t="s">
        <v>23</v>
      </c>
      <c r="C416" s="2">
        <v>46179</v>
      </c>
      <c r="D416" s="2">
        <v>46174</v>
      </c>
      <c r="E416" s="2">
        <v>46122</v>
      </c>
      <c r="F416" s="2">
        <v>46152</v>
      </c>
      <c r="G416" t="s">
        <v>515</v>
      </c>
      <c r="H416" t="s">
        <v>505</v>
      </c>
      <c r="I416" t="s">
        <v>68</v>
      </c>
      <c r="J416">
        <v>17</v>
      </c>
      <c r="K416">
        <v>25</v>
      </c>
      <c r="L416">
        <f t="shared" si="37"/>
        <v>8</v>
      </c>
      <c r="M416">
        <v>8</v>
      </c>
      <c r="N416">
        <f t="shared" si="42"/>
        <v>0</v>
      </c>
      <c r="O416">
        <v>8</v>
      </c>
      <c r="S416">
        <v>3</v>
      </c>
      <c r="T416" s="3">
        <f t="shared" si="38"/>
        <v>11</v>
      </c>
      <c r="U416" s="3" t="str">
        <f t="shared" si="39"/>
        <v>USTED ESTÁ AL DÍA</v>
      </c>
      <c r="V416" s="3" t="s">
        <v>27</v>
      </c>
      <c r="W416">
        <v>30</v>
      </c>
      <c r="X416">
        <v>75</v>
      </c>
      <c r="Y416">
        <f t="shared" si="40"/>
        <v>116</v>
      </c>
    </row>
    <row r="417" spans="1:25" ht="15.75" hidden="1" customHeight="1" x14ac:dyDescent="0.35">
      <c r="A417" s="3">
        <v>17311</v>
      </c>
      <c r="B417" s="3" t="s">
        <v>23</v>
      </c>
      <c r="C417" s="2">
        <v>46179</v>
      </c>
      <c r="D417" s="2">
        <v>46174</v>
      </c>
      <c r="E417" s="2">
        <v>46122</v>
      </c>
      <c r="F417" s="2">
        <v>46152</v>
      </c>
      <c r="G417" t="s">
        <v>516</v>
      </c>
      <c r="H417" t="s">
        <v>505</v>
      </c>
      <c r="I417" t="s">
        <v>97</v>
      </c>
      <c r="J417">
        <v>164</v>
      </c>
      <c r="K417">
        <v>167</v>
      </c>
      <c r="L417">
        <f t="shared" si="37"/>
        <v>3</v>
      </c>
      <c r="M417">
        <v>5</v>
      </c>
      <c r="O417">
        <v>5</v>
      </c>
      <c r="S417">
        <v>3</v>
      </c>
      <c r="T417" s="3">
        <f t="shared" si="38"/>
        <v>8</v>
      </c>
      <c r="U417" s="3" t="str">
        <f t="shared" si="39"/>
        <v>USTED ESTÁ AL DÍA</v>
      </c>
      <c r="V417" s="3" t="s">
        <v>27</v>
      </c>
      <c r="X417">
        <v>75</v>
      </c>
      <c r="Y417">
        <f t="shared" si="40"/>
        <v>83</v>
      </c>
    </row>
    <row r="418" spans="1:25" ht="15.75" hidden="1" customHeight="1" x14ac:dyDescent="0.35">
      <c r="A418" s="3">
        <v>17312</v>
      </c>
      <c r="B418" s="3" t="s">
        <v>23</v>
      </c>
      <c r="C418" s="2">
        <v>46179</v>
      </c>
      <c r="D418" s="2">
        <v>46174</v>
      </c>
      <c r="E418" s="2">
        <v>46122</v>
      </c>
      <c r="F418" s="2">
        <v>46152</v>
      </c>
      <c r="G418" t="s">
        <v>517</v>
      </c>
      <c r="H418" t="s">
        <v>505</v>
      </c>
      <c r="I418" t="s">
        <v>101</v>
      </c>
      <c r="J418">
        <v>1336</v>
      </c>
      <c r="K418">
        <v>1345</v>
      </c>
      <c r="L418">
        <f t="shared" si="37"/>
        <v>9</v>
      </c>
      <c r="M418">
        <v>9</v>
      </c>
      <c r="N418">
        <f>IF(L418&lt;&gt;M418,1,0)</f>
        <v>0</v>
      </c>
      <c r="O418">
        <v>9</v>
      </c>
      <c r="S418">
        <v>3</v>
      </c>
      <c r="T418" s="3">
        <f t="shared" si="38"/>
        <v>12</v>
      </c>
      <c r="U418" s="3" t="str">
        <f t="shared" si="39"/>
        <v>USTED ESTÁ AL DÍA</v>
      </c>
      <c r="V418" s="3" t="s">
        <v>27</v>
      </c>
      <c r="X418">
        <v>75</v>
      </c>
      <c r="Y418">
        <f t="shared" si="40"/>
        <v>87</v>
      </c>
    </row>
    <row r="419" spans="1:25" ht="15.75" hidden="1" customHeight="1" x14ac:dyDescent="0.35">
      <c r="A419" s="3">
        <v>17313</v>
      </c>
      <c r="B419" s="3" t="s">
        <v>23</v>
      </c>
      <c r="C419" s="2">
        <v>46179</v>
      </c>
      <c r="D419" s="2">
        <v>46174</v>
      </c>
      <c r="E419" s="2">
        <v>46122</v>
      </c>
      <c r="F419" s="2">
        <v>46152</v>
      </c>
      <c r="G419" t="s">
        <v>518</v>
      </c>
      <c r="H419" t="s">
        <v>505</v>
      </c>
      <c r="I419" t="s">
        <v>93</v>
      </c>
      <c r="J419">
        <v>117</v>
      </c>
      <c r="K419">
        <v>125</v>
      </c>
      <c r="L419">
        <f t="shared" si="37"/>
        <v>8</v>
      </c>
      <c r="M419">
        <v>8</v>
      </c>
      <c r="N419">
        <f>IF(L419&lt;&gt;M419,1,0)</f>
        <v>0</v>
      </c>
      <c r="O419">
        <v>8</v>
      </c>
      <c r="S419">
        <v>3</v>
      </c>
      <c r="T419" s="3">
        <f t="shared" si="38"/>
        <v>11</v>
      </c>
      <c r="U419" s="3" t="str">
        <f t="shared" si="39"/>
        <v>USTED ESTÁ AL DÍA</v>
      </c>
      <c r="V419" s="3" t="s">
        <v>27</v>
      </c>
      <c r="X419">
        <v>50</v>
      </c>
      <c r="Y419">
        <f t="shared" si="40"/>
        <v>61</v>
      </c>
    </row>
    <row r="420" spans="1:25" ht="15.75" hidden="1" customHeight="1" x14ac:dyDescent="0.35">
      <c r="A420" s="3">
        <v>17314</v>
      </c>
      <c r="B420" s="3" t="s">
        <v>23</v>
      </c>
      <c r="C420" s="2">
        <v>46179</v>
      </c>
      <c r="D420" s="2">
        <v>46174</v>
      </c>
      <c r="E420" s="2">
        <v>46122</v>
      </c>
      <c r="F420" s="2">
        <v>46152</v>
      </c>
      <c r="G420" t="s">
        <v>519</v>
      </c>
      <c r="H420" t="s">
        <v>505</v>
      </c>
      <c r="I420" t="s">
        <v>95</v>
      </c>
      <c r="J420">
        <v>98</v>
      </c>
      <c r="K420">
        <v>104</v>
      </c>
      <c r="L420">
        <f t="shared" si="37"/>
        <v>6</v>
      </c>
      <c r="M420">
        <v>6</v>
      </c>
      <c r="N420">
        <f>IF(L420&lt;&gt;M420,1,0)</f>
        <v>0</v>
      </c>
      <c r="O420">
        <v>6</v>
      </c>
      <c r="S420">
        <v>3</v>
      </c>
      <c r="T420" s="3">
        <f t="shared" si="38"/>
        <v>9</v>
      </c>
      <c r="U420" s="3" t="str">
        <f t="shared" si="39"/>
        <v>USTED ESTÁ AL DÍA</v>
      </c>
      <c r="V420" s="3" t="s">
        <v>27</v>
      </c>
      <c r="X420">
        <v>25</v>
      </c>
      <c r="Y420">
        <f t="shared" si="40"/>
        <v>34</v>
      </c>
    </row>
    <row r="421" spans="1:25" ht="15.75" hidden="1" customHeight="1" x14ac:dyDescent="0.35">
      <c r="A421" s="3">
        <v>17315</v>
      </c>
      <c r="B421" s="3" t="s">
        <v>23</v>
      </c>
      <c r="C421" s="2">
        <v>46179</v>
      </c>
      <c r="D421" s="2">
        <v>46174</v>
      </c>
      <c r="E421" s="2">
        <v>46122</v>
      </c>
      <c r="F421" s="2">
        <v>46152</v>
      </c>
      <c r="G421" t="s">
        <v>520</v>
      </c>
      <c r="H421" t="s">
        <v>505</v>
      </c>
      <c r="I421" t="s">
        <v>91</v>
      </c>
      <c r="J421">
        <v>27</v>
      </c>
      <c r="K421">
        <v>38</v>
      </c>
      <c r="L421">
        <f t="shared" si="37"/>
        <v>11</v>
      </c>
      <c r="M421">
        <v>11</v>
      </c>
      <c r="N421">
        <f>IF(L421&lt;&gt;M421,1,0)</f>
        <v>0</v>
      </c>
      <c r="O421">
        <v>11</v>
      </c>
      <c r="S421">
        <v>3</v>
      </c>
      <c r="T421" s="3">
        <f t="shared" si="38"/>
        <v>14</v>
      </c>
      <c r="U421" s="3" t="str">
        <f t="shared" si="39"/>
        <v>USTED ESTÁ AL DÍA</v>
      </c>
      <c r="V421" s="3" t="s">
        <v>27</v>
      </c>
      <c r="Y421">
        <f t="shared" si="40"/>
        <v>14</v>
      </c>
    </row>
    <row r="422" spans="1:25" ht="15.75" hidden="1" customHeight="1" x14ac:dyDescent="0.35">
      <c r="A422" s="3">
        <v>17316</v>
      </c>
      <c r="B422" s="3" t="s">
        <v>23</v>
      </c>
      <c r="C422" s="2">
        <v>46179</v>
      </c>
      <c r="D422" s="2">
        <v>46174</v>
      </c>
      <c r="E422" s="2">
        <v>46122</v>
      </c>
      <c r="F422" s="2">
        <v>46152</v>
      </c>
      <c r="G422" t="s">
        <v>521</v>
      </c>
      <c r="H422" t="s">
        <v>505</v>
      </c>
      <c r="I422" t="s">
        <v>522</v>
      </c>
      <c r="J422">
        <v>274</v>
      </c>
      <c r="K422">
        <v>286</v>
      </c>
      <c r="L422">
        <f t="shared" si="37"/>
        <v>12</v>
      </c>
      <c r="M422">
        <v>12</v>
      </c>
      <c r="N422">
        <f>IF(L422&lt;&gt;M422,1,0)</f>
        <v>0</v>
      </c>
      <c r="O422">
        <v>12</v>
      </c>
      <c r="S422">
        <v>3</v>
      </c>
      <c r="T422" s="3">
        <f t="shared" si="38"/>
        <v>15</v>
      </c>
      <c r="U422" s="3" t="str">
        <f t="shared" si="39"/>
        <v>USTED ESTÁ AL DÍA</v>
      </c>
      <c r="V422" s="3" t="s">
        <v>27</v>
      </c>
      <c r="Y422">
        <f t="shared" si="40"/>
        <v>15</v>
      </c>
    </row>
    <row r="423" spans="1:25" ht="15.75" hidden="1" customHeight="1" x14ac:dyDescent="0.35">
      <c r="A423" s="3">
        <v>17317</v>
      </c>
      <c r="B423" s="3" t="s">
        <v>23</v>
      </c>
      <c r="C423" s="2">
        <v>46179</v>
      </c>
      <c r="D423" s="2">
        <v>46174</v>
      </c>
      <c r="E423" s="2">
        <v>46122</v>
      </c>
      <c r="F423" s="2">
        <v>46152</v>
      </c>
      <c r="G423" t="s">
        <v>523</v>
      </c>
      <c r="H423" t="s">
        <v>505</v>
      </c>
      <c r="I423" t="s">
        <v>37</v>
      </c>
      <c r="K423">
        <v>1</v>
      </c>
      <c r="L423">
        <f t="shared" si="37"/>
        <v>1</v>
      </c>
      <c r="M423">
        <v>5</v>
      </c>
      <c r="O423">
        <v>5</v>
      </c>
      <c r="S423">
        <v>3</v>
      </c>
      <c r="T423" s="3">
        <f t="shared" si="38"/>
        <v>8</v>
      </c>
      <c r="U423" s="3" t="str">
        <f t="shared" si="39"/>
        <v>USTED ESTÁ AL DÍA</v>
      </c>
      <c r="V423" s="3" t="s">
        <v>27</v>
      </c>
      <c r="X423">
        <v>75</v>
      </c>
      <c r="Y423">
        <f t="shared" si="40"/>
        <v>83</v>
      </c>
    </row>
    <row r="424" spans="1:25" ht="15.75" hidden="1" customHeight="1" x14ac:dyDescent="0.35">
      <c r="A424" s="3">
        <v>17318</v>
      </c>
      <c r="B424" s="3" t="s">
        <v>23</v>
      </c>
      <c r="C424" s="2">
        <v>46179</v>
      </c>
      <c r="D424" s="2">
        <v>46174</v>
      </c>
      <c r="E424" s="2">
        <v>46122</v>
      </c>
      <c r="F424" s="2">
        <v>46152</v>
      </c>
      <c r="G424" t="s">
        <v>524</v>
      </c>
      <c r="H424" t="s">
        <v>505</v>
      </c>
      <c r="I424" t="s">
        <v>43</v>
      </c>
      <c r="K424">
        <v>8</v>
      </c>
      <c r="L424">
        <f t="shared" si="37"/>
        <v>8</v>
      </c>
      <c r="M424">
        <v>8</v>
      </c>
      <c r="N424">
        <f>IF(L424&lt;&gt;M424,1,0)</f>
        <v>0</v>
      </c>
      <c r="O424">
        <v>8</v>
      </c>
      <c r="S424">
        <v>3</v>
      </c>
      <c r="T424" s="3">
        <f t="shared" si="38"/>
        <v>11</v>
      </c>
      <c r="U424" s="3" t="str">
        <f t="shared" si="39"/>
        <v>USTED ESTÁ AL DÍA</v>
      </c>
      <c r="V424" s="3" t="s">
        <v>27</v>
      </c>
      <c r="W424">
        <v>50</v>
      </c>
      <c r="Y424">
        <f t="shared" si="40"/>
        <v>61</v>
      </c>
    </row>
    <row r="425" spans="1:25" ht="15.75" hidden="1" customHeight="1" x14ac:dyDescent="0.35">
      <c r="A425" s="3">
        <v>17319</v>
      </c>
      <c r="B425" s="3" t="s">
        <v>23</v>
      </c>
      <c r="C425" s="2">
        <v>46179</v>
      </c>
      <c r="D425" s="2">
        <v>46174</v>
      </c>
      <c r="E425" s="2">
        <v>46122</v>
      </c>
      <c r="F425" s="2">
        <v>46152</v>
      </c>
      <c r="G425" t="s">
        <v>525</v>
      </c>
      <c r="H425" t="s">
        <v>505</v>
      </c>
      <c r="I425" t="s">
        <v>526</v>
      </c>
      <c r="L425">
        <f t="shared" si="37"/>
        <v>0</v>
      </c>
      <c r="S425">
        <v>0</v>
      </c>
      <c r="T425" s="3">
        <f t="shared" si="38"/>
        <v>0</v>
      </c>
      <c r="U425" s="3" t="str">
        <f t="shared" si="39"/>
        <v>USTED ESTÁ AL DÍA</v>
      </c>
      <c r="V425" s="3" t="s">
        <v>27</v>
      </c>
      <c r="W425">
        <v>50</v>
      </c>
      <c r="Y425">
        <f t="shared" si="40"/>
        <v>50</v>
      </c>
    </row>
    <row r="426" spans="1:25" ht="15.75" hidden="1" customHeight="1" x14ac:dyDescent="0.35">
      <c r="A426" s="3">
        <v>17320</v>
      </c>
      <c r="B426" s="3" t="s">
        <v>23</v>
      </c>
      <c r="C426" s="2">
        <v>46179</v>
      </c>
      <c r="D426" s="2">
        <v>46174</v>
      </c>
      <c r="E426" s="2">
        <v>46122</v>
      </c>
      <c r="F426" s="2">
        <v>46152</v>
      </c>
      <c r="G426" t="s">
        <v>527</v>
      </c>
      <c r="H426" t="s">
        <v>505</v>
      </c>
      <c r="I426" t="s">
        <v>79</v>
      </c>
      <c r="L426">
        <f t="shared" si="37"/>
        <v>0</v>
      </c>
      <c r="S426">
        <v>0</v>
      </c>
      <c r="T426" s="3">
        <f t="shared" si="38"/>
        <v>0</v>
      </c>
      <c r="U426" s="3" t="str">
        <f t="shared" si="39"/>
        <v>USTED ESTÁ AL DÍA</v>
      </c>
      <c r="V426" s="3" t="s">
        <v>27</v>
      </c>
      <c r="W426">
        <v>20</v>
      </c>
      <c r="X426">
        <v>75</v>
      </c>
      <c r="Y426">
        <f t="shared" si="40"/>
        <v>95</v>
      </c>
    </row>
    <row r="427" spans="1:25" ht="15.75" hidden="1" customHeight="1" x14ac:dyDescent="0.35">
      <c r="A427" s="3">
        <v>17321</v>
      </c>
      <c r="B427" s="3" t="s">
        <v>23</v>
      </c>
      <c r="C427" s="2">
        <v>46179</v>
      </c>
      <c r="D427" s="2">
        <v>46174</v>
      </c>
      <c r="E427" s="2">
        <v>46122</v>
      </c>
      <c r="F427" s="2">
        <v>46152</v>
      </c>
      <c r="G427" t="s">
        <v>528</v>
      </c>
      <c r="H427" t="s">
        <v>505</v>
      </c>
      <c r="I427" t="s">
        <v>84</v>
      </c>
      <c r="L427">
        <f t="shared" si="37"/>
        <v>0</v>
      </c>
      <c r="S427">
        <v>0</v>
      </c>
      <c r="T427" s="3">
        <f t="shared" si="38"/>
        <v>0</v>
      </c>
      <c r="U427" s="3" t="str">
        <f t="shared" si="39"/>
        <v>USTED ESTÁ AL DÍA</v>
      </c>
      <c r="V427" s="3" t="s">
        <v>27</v>
      </c>
      <c r="Y427">
        <f t="shared" si="40"/>
        <v>0</v>
      </c>
    </row>
    <row r="428" spans="1:25" ht="15.75" hidden="1" customHeight="1" x14ac:dyDescent="0.35">
      <c r="A428" s="3">
        <v>17322</v>
      </c>
      <c r="B428" s="3" t="s">
        <v>23</v>
      </c>
      <c r="C428" s="2">
        <v>46179</v>
      </c>
      <c r="D428" s="2">
        <v>46174</v>
      </c>
      <c r="E428" s="2">
        <v>46122</v>
      </c>
      <c r="F428" s="2">
        <v>46152</v>
      </c>
      <c r="G428" t="s">
        <v>529</v>
      </c>
      <c r="H428" t="s">
        <v>530</v>
      </c>
      <c r="I428" t="s">
        <v>39</v>
      </c>
      <c r="J428">
        <v>1661</v>
      </c>
      <c r="K428">
        <v>1674</v>
      </c>
      <c r="L428">
        <f t="shared" si="37"/>
        <v>13</v>
      </c>
      <c r="M428">
        <v>13</v>
      </c>
      <c r="N428">
        <f t="shared" ref="N428:N438" si="43">IF(L428&lt;&gt;M428,1,0)</f>
        <v>0</v>
      </c>
      <c r="O428">
        <v>13</v>
      </c>
      <c r="P428">
        <v>24</v>
      </c>
      <c r="S428">
        <v>3</v>
      </c>
      <c r="T428" s="3">
        <f t="shared" si="38"/>
        <v>40</v>
      </c>
      <c r="U428" s="3" t="str">
        <f t="shared" si="39"/>
        <v>USTED NO ESTÁ AL DÍA</v>
      </c>
      <c r="V428" s="3" t="s">
        <v>27</v>
      </c>
      <c r="Y428">
        <f t="shared" si="40"/>
        <v>40</v>
      </c>
    </row>
    <row r="429" spans="1:25" ht="15.75" hidden="1" customHeight="1" x14ac:dyDescent="0.35">
      <c r="A429" s="3">
        <v>17323</v>
      </c>
      <c r="B429" s="3" t="s">
        <v>23</v>
      </c>
      <c r="C429" s="2">
        <v>46179</v>
      </c>
      <c r="D429" s="2">
        <v>46174</v>
      </c>
      <c r="E429" s="2">
        <v>46122</v>
      </c>
      <c r="F429" s="2">
        <v>46152</v>
      </c>
      <c r="G429" t="s">
        <v>531</v>
      </c>
      <c r="H429" t="s">
        <v>530</v>
      </c>
      <c r="I429" t="s">
        <v>26</v>
      </c>
      <c r="J429">
        <v>350</v>
      </c>
      <c r="K429">
        <v>357</v>
      </c>
      <c r="L429">
        <f t="shared" si="37"/>
        <v>7</v>
      </c>
      <c r="M429">
        <v>7</v>
      </c>
      <c r="N429">
        <f t="shared" si="43"/>
        <v>0</v>
      </c>
      <c r="O429">
        <v>7</v>
      </c>
      <c r="S429">
        <v>3</v>
      </c>
      <c r="T429" s="3">
        <f t="shared" si="38"/>
        <v>10</v>
      </c>
      <c r="U429" s="3" t="str">
        <f t="shared" si="39"/>
        <v>USTED ESTÁ AL DÍA</v>
      </c>
      <c r="V429" s="3" t="s">
        <v>27</v>
      </c>
      <c r="W429">
        <v>50</v>
      </c>
      <c r="X429">
        <v>50</v>
      </c>
      <c r="Y429">
        <f t="shared" si="40"/>
        <v>110</v>
      </c>
    </row>
    <row r="430" spans="1:25" ht="15.75" hidden="1" customHeight="1" x14ac:dyDescent="0.35">
      <c r="A430" s="3">
        <v>17324</v>
      </c>
      <c r="B430" s="3" t="s">
        <v>23</v>
      </c>
      <c r="C430" s="2">
        <v>46179</v>
      </c>
      <c r="D430" s="2">
        <v>46174</v>
      </c>
      <c r="E430" s="2">
        <v>46122</v>
      </c>
      <c r="F430" s="2">
        <v>46152</v>
      </c>
      <c r="G430" t="s">
        <v>532</v>
      </c>
      <c r="H430" t="s">
        <v>530</v>
      </c>
      <c r="I430" t="s">
        <v>29</v>
      </c>
      <c r="J430">
        <v>846</v>
      </c>
      <c r="K430">
        <v>855</v>
      </c>
      <c r="L430">
        <f t="shared" si="37"/>
        <v>9</v>
      </c>
      <c r="M430">
        <v>9</v>
      </c>
      <c r="N430">
        <f t="shared" si="43"/>
        <v>0</v>
      </c>
      <c r="O430">
        <v>9</v>
      </c>
      <c r="S430">
        <v>3</v>
      </c>
      <c r="T430" s="3">
        <f t="shared" si="38"/>
        <v>12</v>
      </c>
      <c r="U430" s="3" t="str">
        <f t="shared" si="39"/>
        <v>USTED ESTÁ AL DÍA</v>
      </c>
      <c r="V430" s="3" t="s">
        <v>27</v>
      </c>
      <c r="W430">
        <v>50</v>
      </c>
      <c r="Y430">
        <f t="shared" si="40"/>
        <v>62</v>
      </c>
    </row>
    <row r="431" spans="1:25" ht="15.75" hidden="1" customHeight="1" x14ac:dyDescent="0.35">
      <c r="A431" s="3">
        <v>17325</v>
      </c>
      <c r="B431" s="3" t="s">
        <v>23</v>
      </c>
      <c r="C431" s="2">
        <v>46179</v>
      </c>
      <c r="D431" s="2">
        <v>46174</v>
      </c>
      <c r="E431" s="2">
        <v>46122</v>
      </c>
      <c r="F431" s="2">
        <v>46152</v>
      </c>
      <c r="G431" t="s">
        <v>533</v>
      </c>
      <c r="H431" t="s">
        <v>530</v>
      </c>
      <c r="I431" t="s">
        <v>31</v>
      </c>
      <c r="J431">
        <v>2440</v>
      </c>
      <c r="K431">
        <v>2448</v>
      </c>
      <c r="L431">
        <f t="shared" si="37"/>
        <v>8</v>
      </c>
      <c r="M431">
        <v>8</v>
      </c>
      <c r="N431">
        <f t="shared" si="43"/>
        <v>0</v>
      </c>
      <c r="O431">
        <v>8</v>
      </c>
      <c r="S431">
        <v>3</v>
      </c>
      <c r="T431" s="3">
        <f t="shared" si="38"/>
        <v>11</v>
      </c>
      <c r="U431" s="3" t="str">
        <f t="shared" si="39"/>
        <v>USTED ESTÁ AL DÍA</v>
      </c>
      <c r="V431" s="3" t="s">
        <v>27</v>
      </c>
      <c r="W431">
        <v>20</v>
      </c>
      <c r="X431">
        <v>50</v>
      </c>
      <c r="Y431">
        <f t="shared" si="40"/>
        <v>81</v>
      </c>
    </row>
    <row r="432" spans="1:25" ht="15.75" hidden="1" customHeight="1" x14ac:dyDescent="0.35">
      <c r="A432" s="3">
        <v>17326</v>
      </c>
      <c r="B432" s="3" t="s">
        <v>23</v>
      </c>
      <c r="C432" s="2">
        <v>46179</v>
      </c>
      <c r="D432" s="2">
        <v>46174</v>
      </c>
      <c r="E432" s="2">
        <v>46122</v>
      </c>
      <c r="F432" s="2">
        <v>46152</v>
      </c>
      <c r="G432" t="s">
        <v>534</v>
      </c>
      <c r="H432" t="s">
        <v>530</v>
      </c>
      <c r="I432" t="s">
        <v>35</v>
      </c>
      <c r="J432">
        <v>39</v>
      </c>
      <c r="K432">
        <v>55</v>
      </c>
      <c r="L432">
        <f t="shared" si="37"/>
        <v>16</v>
      </c>
      <c r="M432">
        <v>16</v>
      </c>
      <c r="N432">
        <f t="shared" si="43"/>
        <v>0</v>
      </c>
      <c r="O432">
        <v>16</v>
      </c>
      <c r="R432">
        <v>25</v>
      </c>
      <c r="S432">
        <v>3</v>
      </c>
      <c r="T432" s="3">
        <f t="shared" si="38"/>
        <v>44</v>
      </c>
      <c r="U432" s="3" t="str">
        <f t="shared" si="39"/>
        <v>USTED ESTÁ AL DÍA</v>
      </c>
      <c r="V432" s="3" t="s">
        <v>27</v>
      </c>
      <c r="W432">
        <v>50</v>
      </c>
      <c r="X432">
        <v>50</v>
      </c>
      <c r="Y432">
        <f t="shared" si="40"/>
        <v>144</v>
      </c>
    </row>
    <row r="433" spans="1:25" ht="15.75" hidden="1" customHeight="1" x14ac:dyDescent="0.35">
      <c r="A433" s="3">
        <v>17327</v>
      </c>
      <c r="B433" s="3" t="s">
        <v>23</v>
      </c>
      <c r="C433" s="2">
        <v>46179</v>
      </c>
      <c r="D433" s="2">
        <v>46174</v>
      </c>
      <c r="E433" s="2">
        <v>46122</v>
      </c>
      <c r="F433" s="2">
        <v>46152</v>
      </c>
      <c r="G433" t="s">
        <v>535</v>
      </c>
      <c r="H433" t="s">
        <v>530</v>
      </c>
      <c r="I433" t="s">
        <v>37</v>
      </c>
      <c r="J433">
        <v>2080</v>
      </c>
      <c r="K433">
        <v>2102</v>
      </c>
      <c r="L433">
        <f t="shared" si="37"/>
        <v>22</v>
      </c>
      <c r="M433">
        <v>22</v>
      </c>
      <c r="N433">
        <f t="shared" si="43"/>
        <v>0</v>
      </c>
      <c r="O433">
        <v>22</v>
      </c>
      <c r="S433">
        <v>3</v>
      </c>
      <c r="T433" s="3">
        <f t="shared" si="38"/>
        <v>25</v>
      </c>
      <c r="U433" s="3" t="str">
        <f t="shared" si="39"/>
        <v>USTED ESTÁ AL DÍA</v>
      </c>
      <c r="V433" s="3" t="s">
        <v>27</v>
      </c>
      <c r="Y433">
        <f t="shared" si="40"/>
        <v>25</v>
      </c>
    </row>
    <row r="434" spans="1:25" ht="15.75" hidden="1" customHeight="1" x14ac:dyDescent="0.35">
      <c r="A434" s="3">
        <v>17328</v>
      </c>
      <c r="B434" s="3" t="s">
        <v>23</v>
      </c>
      <c r="C434" s="2">
        <v>46179</v>
      </c>
      <c r="D434" s="2">
        <v>46174</v>
      </c>
      <c r="E434" s="2">
        <v>46122</v>
      </c>
      <c r="F434" s="2">
        <v>46152</v>
      </c>
      <c r="G434" t="s">
        <v>536</v>
      </c>
      <c r="H434" t="s">
        <v>530</v>
      </c>
      <c r="I434" t="s">
        <v>41</v>
      </c>
      <c r="J434">
        <v>34</v>
      </c>
      <c r="K434">
        <v>54</v>
      </c>
      <c r="L434">
        <f t="shared" si="37"/>
        <v>20</v>
      </c>
      <c r="M434">
        <v>20</v>
      </c>
      <c r="N434">
        <f t="shared" si="43"/>
        <v>0</v>
      </c>
      <c r="O434">
        <v>20</v>
      </c>
      <c r="R434">
        <v>20</v>
      </c>
      <c r="S434">
        <v>3</v>
      </c>
      <c r="T434" s="3">
        <f t="shared" si="38"/>
        <v>43</v>
      </c>
      <c r="U434" s="3" t="str">
        <f t="shared" si="39"/>
        <v>USTED ESTÁ AL DÍA</v>
      </c>
      <c r="V434" s="3" t="s">
        <v>27</v>
      </c>
      <c r="X434">
        <v>50</v>
      </c>
      <c r="Y434">
        <f t="shared" si="40"/>
        <v>93</v>
      </c>
    </row>
    <row r="435" spans="1:25" ht="15.75" hidden="1" customHeight="1" x14ac:dyDescent="0.35">
      <c r="A435" s="3">
        <v>17329</v>
      </c>
      <c r="B435" s="3" t="s">
        <v>23</v>
      </c>
      <c r="C435" s="2">
        <v>46179</v>
      </c>
      <c r="D435" s="2">
        <v>46174</v>
      </c>
      <c r="E435" s="2">
        <v>46122</v>
      </c>
      <c r="F435" s="2">
        <v>46152</v>
      </c>
      <c r="G435" t="s">
        <v>537</v>
      </c>
      <c r="H435" t="s">
        <v>530</v>
      </c>
      <c r="I435" t="s">
        <v>43</v>
      </c>
      <c r="J435">
        <v>254</v>
      </c>
      <c r="K435">
        <v>277</v>
      </c>
      <c r="L435">
        <f t="shared" si="37"/>
        <v>23</v>
      </c>
      <c r="M435">
        <v>23</v>
      </c>
      <c r="N435">
        <f t="shared" si="43"/>
        <v>0</v>
      </c>
      <c r="O435">
        <v>23</v>
      </c>
      <c r="S435">
        <v>3</v>
      </c>
      <c r="T435" s="3">
        <f t="shared" si="38"/>
        <v>26</v>
      </c>
      <c r="U435" s="3" t="str">
        <f t="shared" si="39"/>
        <v>USTED ESTÁ AL DÍA</v>
      </c>
      <c r="V435" s="3" t="s">
        <v>27</v>
      </c>
      <c r="X435">
        <v>50</v>
      </c>
      <c r="Y435">
        <f t="shared" si="40"/>
        <v>76</v>
      </c>
    </row>
    <row r="436" spans="1:25" ht="15.75" hidden="1" customHeight="1" x14ac:dyDescent="0.35">
      <c r="A436" s="3">
        <v>17330</v>
      </c>
      <c r="B436" s="3" t="s">
        <v>23</v>
      </c>
      <c r="C436" s="2">
        <v>46179</v>
      </c>
      <c r="D436" s="2">
        <v>46174</v>
      </c>
      <c r="E436" s="2">
        <v>46122</v>
      </c>
      <c r="F436" s="2">
        <v>46152</v>
      </c>
      <c r="G436" t="s">
        <v>538</v>
      </c>
      <c r="H436" t="s">
        <v>530</v>
      </c>
      <c r="I436" t="s">
        <v>47</v>
      </c>
      <c r="J436">
        <v>1057</v>
      </c>
      <c r="K436">
        <v>1073</v>
      </c>
      <c r="L436">
        <f t="shared" si="37"/>
        <v>16</v>
      </c>
      <c r="M436">
        <v>16</v>
      </c>
      <c r="N436">
        <f t="shared" si="43"/>
        <v>0</v>
      </c>
      <c r="O436">
        <v>16</v>
      </c>
      <c r="Q436">
        <v>20</v>
      </c>
      <c r="S436">
        <v>3</v>
      </c>
      <c r="T436" s="3">
        <f t="shared" si="38"/>
        <v>39</v>
      </c>
      <c r="U436" s="3" t="str">
        <f t="shared" si="39"/>
        <v>USTED ESTÁ AL DÍA</v>
      </c>
      <c r="V436" s="3" t="s">
        <v>27</v>
      </c>
      <c r="W436">
        <v>50</v>
      </c>
      <c r="X436">
        <v>75</v>
      </c>
      <c r="Y436">
        <f t="shared" si="40"/>
        <v>164</v>
      </c>
    </row>
    <row r="437" spans="1:25" ht="15.75" hidden="1" customHeight="1" x14ac:dyDescent="0.35">
      <c r="A437" s="3">
        <v>17331</v>
      </c>
      <c r="B437" s="3" t="s">
        <v>23</v>
      </c>
      <c r="C437" s="2">
        <v>46179</v>
      </c>
      <c r="D437" s="2">
        <v>46174</v>
      </c>
      <c r="E437" s="2">
        <v>46122</v>
      </c>
      <c r="F437" s="2">
        <v>46152</v>
      </c>
      <c r="G437" t="s">
        <v>539</v>
      </c>
      <c r="H437" t="s">
        <v>530</v>
      </c>
      <c r="I437" t="s">
        <v>66</v>
      </c>
      <c r="J437">
        <v>845</v>
      </c>
      <c r="K437">
        <v>857</v>
      </c>
      <c r="L437">
        <f t="shared" si="37"/>
        <v>12</v>
      </c>
      <c r="M437">
        <v>12</v>
      </c>
      <c r="N437">
        <f t="shared" si="43"/>
        <v>0</v>
      </c>
      <c r="O437">
        <v>12</v>
      </c>
      <c r="S437">
        <v>3</v>
      </c>
      <c r="T437" s="3">
        <f t="shared" si="38"/>
        <v>15</v>
      </c>
      <c r="U437" s="3" t="str">
        <f t="shared" si="39"/>
        <v>USTED ESTÁ AL DÍA</v>
      </c>
      <c r="V437" s="3" t="s">
        <v>27</v>
      </c>
      <c r="W437">
        <v>30</v>
      </c>
      <c r="Y437">
        <f t="shared" si="40"/>
        <v>45</v>
      </c>
    </row>
    <row r="438" spans="1:25" ht="15.75" hidden="1" customHeight="1" x14ac:dyDescent="0.35">
      <c r="A438" s="3">
        <v>17332</v>
      </c>
      <c r="B438" s="3" t="s">
        <v>23</v>
      </c>
      <c r="C438" s="2">
        <v>46179</v>
      </c>
      <c r="D438" s="2">
        <v>46174</v>
      </c>
      <c r="E438" s="2">
        <v>46122</v>
      </c>
      <c r="F438" s="2">
        <v>46152</v>
      </c>
      <c r="G438" t="s">
        <v>540</v>
      </c>
      <c r="H438" t="s">
        <v>530</v>
      </c>
      <c r="I438" t="s">
        <v>97</v>
      </c>
      <c r="J438">
        <v>1105</v>
      </c>
      <c r="K438">
        <v>1112</v>
      </c>
      <c r="L438">
        <f t="shared" si="37"/>
        <v>7</v>
      </c>
      <c r="M438">
        <v>7</v>
      </c>
      <c r="N438">
        <f t="shared" si="43"/>
        <v>0</v>
      </c>
      <c r="O438">
        <v>7</v>
      </c>
      <c r="S438">
        <v>3</v>
      </c>
      <c r="T438" s="3">
        <f t="shared" si="38"/>
        <v>10</v>
      </c>
      <c r="U438" s="3" t="str">
        <f t="shared" si="39"/>
        <v>USTED ESTÁ AL DÍA</v>
      </c>
      <c r="V438" s="3" t="s">
        <v>27</v>
      </c>
      <c r="W438">
        <v>20</v>
      </c>
      <c r="Y438">
        <f t="shared" si="40"/>
        <v>30</v>
      </c>
    </row>
    <row r="439" spans="1:25" ht="15.75" hidden="1" customHeight="1" x14ac:dyDescent="0.35">
      <c r="A439" s="3">
        <v>17333</v>
      </c>
      <c r="B439" s="3" t="s">
        <v>23</v>
      </c>
      <c r="C439" s="2">
        <v>46179</v>
      </c>
      <c r="D439" s="2">
        <v>46174</v>
      </c>
      <c r="E439" s="2">
        <v>46122</v>
      </c>
      <c r="F439" s="2">
        <v>46152</v>
      </c>
      <c r="G439" t="s">
        <v>541</v>
      </c>
      <c r="H439" t="s">
        <v>530</v>
      </c>
      <c r="I439" t="s">
        <v>101</v>
      </c>
      <c r="J439">
        <v>334</v>
      </c>
      <c r="K439">
        <v>336</v>
      </c>
      <c r="L439">
        <f t="shared" si="37"/>
        <v>2</v>
      </c>
      <c r="M439">
        <v>5</v>
      </c>
      <c r="O439">
        <v>5</v>
      </c>
      <c r="S439">
        <v>3</v>
      </c>
      <c r="T439" s="3">
        <f t="shared" si="38"/>
        <v>8</v>
      </c>
      <c r="U439" s="3" t="str">
        <f t="shared" si="39"/>
        <v>USTED ESTÁ AL DÍA</v>
      </c>
      <c r="V439" s="3" t="s">
        <v>27</v>
      </c>
      <c r="X439">
        <v>65</v>
      </c>
      <c r="Y439">
        <f t="shared" si="40"/>
        <v>73</v>
      </c>
    </row>
    <row r="440" spans="1:25" ht="15.75" hidden="1" customHeight="1" x14ac:dyDescent="0.35">
      <c r="A440" s="3">
        <v>17334</v>
      </c>
      <c r="B440" s="3" t="s">
        <v>23</v>
      </c>
      <c r="C440" s="2">
        <v>46179</v>
      </c>
      <c r="D440" s="2">
        <v>46174</v>
      </c>
      <c r="E440" s="2">
        <v>46122</v>
      </c>
      <c r="F440" s="2">
        <v>46152</v>
      </c>
      <c r="G440" t="s">
        <v>542</v>
      </c>
      <c r="H440" t="s">
        <v>530</v>
      </c>
      <c r="I440" t="s">
        <v>79</v>
      </c>
      <c r="J440">
        <v>165</v>
      </c>
      <c r="K440">
        <v>172</v>
      </c>
      <c r="L440">
        <f t="shared" si="37"/>
        <v>7</v>
      </c>
      <c r="M440">
        <v>7</v>
      </c>
      <c r="N440">
        <f>IF(L440&lt;&gt;M440,1,0)</f>
        <v>0</v>
      </c>
      <c r="O440">
        <v>7</v>
      </c>
      <c r="S440">
        <v>3</v>
      </c>
      <c r="T440" s="3">
        <f t="shared" si="38"/>
        <v>10</v>
      </c>
      <c r="U440" s="3" t="str">
        <f t="shared" si="39"/>
        <v>USTED ESTÁ AL DÍA</v>
      </c>
      <c r="V440" s="3" t="s">
        <v>27</v>
      </c>
      <c r="Y440">
        <f t="shared" si="40"/>
        <v>10</v>
      </c>
    </row>
    <row r="441" spans="1:25" ht="15.75" hidden="1" customHeight="1" x14ac:dyDescent="0.35">
      <c r="A441" s="3">
        <v>17335</v>
      </c>
      <c r="B441" s="3" t="s">
        <v>23</v>
      </c>
      <c r="C441" s="2">
        <v>46179</v>
      </c>
      <c r="D441" s="2">
        <v>46174</v>
      </c>
      <c r="E441" s="2">
        <v>46122</v>
      </c>
      <c r="F441" s="2">
        <v>46152</v>
      </c>
      <c r="G441" t="s">
        <v>543</v>
      </c>
      <c r="H441" t="s">
        <v>530</v>
      </c>
      <c r="I441" t="s">
        <v>33</v>
      </c>
      <c r="L441">
        <f t="shared" si="37"/>
        <v>0</v>
      </c>
      <c r="S441">
        <v>0</v>
      </c>
      <c r="T441" s="3">
        <f t="shared" si="38"/>
        <v>0</v>
      </c>
      <c r="U441" s="3" t="str">
        <f t="shared" si="39"/>
        <v>USTED ESTÁ AL DÍA</v>
      </c>
      <c r="V441" s="3" t="s">
        <v>27</v>
      </c>
      <c r="W441">
        <v>50</v>
      </c>
      <c r="X441">
        <v>75</v>
      </c>
      <c r="Y441">
        <f t="shared" si="40"/>
        <v>125</v>
      </c>
    </row>
    <row r="442" spans="1:25" ht="15.75" hidden="1" customHeight="1" x14ac:dyDescent="0.35">
      <c r="A442" s="3">
        <v>17336</v>
      </c>
      <c r="B442" s="3" t="s">
        <v>23</v>
      </c>
      <c r="C442" s="2">
        <v>46179</v>
      </c>
      <c r="D442" s="2">
        <v>46174</v>
      </c>
      <c r="E442" s="2">
        <v>46122</v>
      </c>
      <c r="F442" s="2">
        <v>46152</v>
      </c>
      <c r="G442" t="s">
        <v>544</v>
      </c>
      <c r="H442" t="s">
        <v>530</v>
      </c>
      <c r="I442" t="s">
        <v>68</v>
      </c>
      <c r="L442">
        <f t="shared" si="37"/>
        <v>0</v>
      </c>
      <c r="S442">
        <v>0</v>
      </c>
      <c r="T442" s="3">
        <f t="shared" si="38"/>
        <v>0</v>
      </c>
      <c r="U442" s="3" t="str">
        <f t="shared" si="39"/>
        <v>USTED ESTÁ AL DÍA</v>
      </c>
      <c r="V442" s="3" t="s">
        <v>27</v>
      </c>
      <c r="W442">
        <v>20</v>
      </c>
      <c r="Y442">
        <f t="shared" si="40"/>
        <v>20</v>
      </c>
    </row>
    <row r="443" spans="1:25" ht="15.75" hidden="1" customHeight="1" x14ac:dyDescent="0.35">
      <c r="A443" s="3">
        <v>17337</v>
      </c>
      <c r="B443" s="3" t="s">
        <v>23</v>
      </c>
      <c r="C443" s="2">
        <v>46179</v>
      </c>
      <c r="D443" s="2">
        <v>46174</v>
      </c>
      <c r="E443" s="2">
        <v>46122</v>
      </c>
      <c r="F443" s="2">
        <v>46152</v>
      </c>
      <c r="G443" t="s">
        <v>545</v>
      </c>
      <c r="H443" t="s">
        <v>530</v>
      </c>
      <c r="I443" t="s">
        <v>45</v>
      </c>
      <c r="L443">
        <f t="shared" si="37"/>
        <v>0</v>
      </c>
      <c r="S443">
        <v>0</v>
      </c>
      <c r="T443" s="3">
        <f t="shared" si="38"/>
        <v>0</v>
      </c>
      <c r="U443" s="3" t="str">
        <f t="shared" si="39"/>
        <v>USTED ESTÁ AL DÍA</v>
      </c>
      <c r="V443" s="3" t="s">
        <v>27</v>
      </c>
      <c r="W443">
        <v>50</v>
      </c>
      <c r="Y443">
        <f t="shared" si="40"/>
        <v>50</v>
      </c>
    </row>
    <row r="444" spans="1:25" ht="15.75" hidden="1" customHeight="1" x14ac:dyDescent="0.35">
      <c r="A444" s="3">
        <v>17338</v>
      </c>
      <c r="B444" s="3" t="s">
        <v>23</v>
      </c>
      <c r="C444" s="2">
        <v>46179</v>
      </c>
      <c r="D444" s="2">
        <v>46174</v>
      </c>
      <c r="E444" s="2">
        <v>46122</v>
      </c>
      <c r="F444" s="2">
        <v>46152</v>
      </c>
      <c r="G444" t="s">
        <v>546</v>
      </c>
      <c r="H444" t="s">
        <v>547</v>
      </c>
      <c r="I444" t="s">
        <v>39</v>
      </c>
      <c r="J444">
        <v>281</v>
      </c>
      <c r="K444">
        <v>293</v>
      </c>
      <c r="L444">
        <f t="shared" si="37"/>
        <v>12</v>
      </c>
      <c r="M444">
        <v>12</v>
      </c>
      <c r="N444">
        <f>IF(L444&lt;&gt;M444,1,0)</f>
        <v>0</v>
      </c>
      <c r="O444">
        <v>12</v>
      </c>
      <c r="P444">
        <v>15</v>
      </c>
      <c r="S444">
        <v>3</v>
      </c>
      <c r="T444" s="3">
        <f t="shared" si="38"/>
        <v>30</v>
      </c>
      <c r="U444" s="3" t="str">
        <f t="shared" si="39"/>
        <v>USTED NO ESTÁ AL DÍA</v>
      </c>
      <c r="V444" s="3" t="s">
        <v>27</v>
      </c>
      <c r="Y444">
        <f t="shared" si="40"/>
        <v>30</v>
      </c>
    </row>
    <row r="445" spans="1:25" ht="15.75" hidden="1" customHeight="1" x14ac:dyDescent="0.35">
      <c r="A445" s="3">
        <v>17339</v>
      </c>
      <c r="B445" s="3" t="s">
        <v>23</v>
      </c>
      <c r="C445" s="2">
        <v>46179</v>
      </c>
      <c r="D445" s="2">
        <v>46174</v>
      </c>
      <c r="E445" s="2">
        <v>46122</v>
      </c>
      <c r="F445" s="2">
        <v>46152</v>
      </c>
      <c r="G445" t="s">
        <v>548</v>
      </c>
      <c r="H445" t="s">
        <v>547</v>
      </c>
      <c r="I445" t="s">
        <v>26</v>
      </c>
      <c r="J445">
        <v>240</v>
      </c>
      <c r="K445">
        <v>251</v>
      </c>
      <c r="L445">
        <f t="shared" si="37"/>
        <v>11</v>
      </c>
      <c r="M445">
        <v>11</v>
      </c>
      <c r="N445">
        <f>IF(L445&lt;&gt;M445,1,0)</f>
        <v>0</v>
      </c>
      <c r="O445">
        <v>11</v>
      </c>
      <c r="S445">
        <v>3</v>
      </c>
      <c r="T445" s="3">
        <f t="shared" si="38"/>
        <v>14</v>
      </c>
      <c r="U445" s="3" t="str">
        <f t="shared" si="39"/>
        <v>USTED ESTÁ AL DÍA</v>
      </c>
      <c r="V445" s="3" t="s">
        <v>27</v>
      </c>
      <c r="X445">
        <v>50</v>
      </c>
      <c r="Y445">
        <f t="shared" si="40"/>
        <v>64</v>
      </c>
    </row>
    <row r="446" spans="1:25" ht="15.75" hidden="1" customHeight="1" x14ac:dyDescent="0.35">
      <c r="A446" s="3">
        <v>17340</v>
      </c>
      <c r="B446" s="3" t="s">
        <v>23</v>
      </c>
      <c r="C446" s="2">
        <v>46179</v>
      </c>
      <c r="D446" s="2">
        <v>46174</v>
      </c>
      <c r="E446" s="2">
        <v>46122</v>
      </c>
      <c r="F446" s="2">
        <v>46152</v>
      </c>
      <c r="G446" t="s">
        <v>549</v>
      </c>
      <c r="H446" t="s">
        <v>547</v>
      </c>
      <c r="I446" t="s">
        <v>29</v>
      </c>
      <c r="J446">
        <v>26</v>
      </c>
      <c r="K446">
        <v>40</v>
      </c>
      <c r="L446">
        <f t="shared" si="37"/>
        <v>14</v>
      </c>
      <c r="M446">
        <v>14</v>
      </c>
      <c r="N446">
        <f>IF(L446&lt;&gt;M446,1,0)</f>
        <v>0</v>
      </c>
      <c r="O446">
        <v>14</v>
      </c>
      <c r="R446">
        <v>25</v>
      </c>
      <c r="S446">
        <v>3</v>
      </c>
      <c r="T446" s="3">
        <f t="shared" si="38"/>
        <v>42</v>
      </c>
      <c r="U446" s="3" t="str">
        <f t="shared" si="39"/>
        <v>USTED ESTÁ AL DÍA</v>
      </c>
      <c r="V446" s="3" t="s">
        <v>27</v>
      </c>
      <c r="X446">
        <v>50</v>
      </c>
      <c r="Y446">
        <f t="shared" si="40"/>
        <v>92</v>
      </c>
    </row>
    <row r="447" spans="1:25" ht="15.75" hidden="1" customHeight="1" x14ac:dyDescent="0.35">
      <c r="A447" s="3">
        <v>17341</v>
      </c>
      <c r="B447" s="3" t="s">
        <v>23</v>
      </c>
      <c r="C447" s="2">
        <v>46179</v>
      </c>
      <c r="D447" s="2">
        <v>46174</v>
      </c>
      <c r="E447" s="2">
        <v>46122</v>
      </c>
      <c r="F447" s="2">
        <v>46152</v>
      </c>
      <c r="G447" t="s">
        <v>550</v>
      </c>
      <c r="H447" t="s">
        <v>547</v>
      </c>
      <c r="I447" t="s">
        <v>31</v>
      </c>
      <c r="J447">
        <v>146</v>
      </c>
      <c r="K447">
        <v>151</v>
      </c>
      <c r="L447">
        <f t="shared" si="37"/>
        <v>5</v>
      </c>
      <c r="M447">
        <v>5</v>
      </c>
      <c r="O447">
        <v>5</v>
      </c>
      <c r="S447">
        <v>3</v>
      </c>
      <c r="T447" s="3">
        <f t="shared" si="38"/>
        <v>8</v>
      </c>
      <c r="U447" s="3" t="str">
        <f t="shared" si="39"/>
        <v>USTED ESTÁ AL DÍA</v>
      </c>
      <c r="V447" s="3" t="s">
        <v>27</v>
      </c>
      <c r="W447">
        <v>20</v>
      </c>
      <c r="X447">
        <v>75</v>
      </c>
      <c r="Y447">
        <f t="shared" si="40"/>
        <v>103</v>
      </c>
    </row>
    <row r="448" spans="1:25" ht="15.75" hidden="1" customHeight="1" x14ac:dyDescent="0.35">
      <c r="A448" s="3">
        <v>17342</v>
      </c>
      <c r="B448" s="3" t="s">
        <v>23</v>
      </c>
      <c r="C448" s="2">
        <v>46179</v>
      </c>
      <c r="D448" s="2">
        <v>46174</v>
      </c>
      <c r="E448" s="2">
        <v>46122</v>
      </c>
      <c r="F448" s="2">
        <v>46152</v>
      </c>
      <c r="G448" t="s">
        <v>551</v>
      </c>
      <c r="H448" t="s">
        <v>547</v>
      </c>
      <c r="I448" t="s">
        <v>33</v>
      </c>
      <c r="J448">
        <v>779</v>
      </c>
      <c r="K448">
        <v>784</v>
      </c>
      <c r="L448">
        <f t="shared" si="37"/>
        <v>5</v>
      </c>
      <c r="M448">
        <v>5</v>
      </c>
      <c r="O448">
        <v>5</v>
      </c>
      <c r="S448">
        <v>3</v>
      </c>
      <c r="T448" s="3">
        <f t="shared" si="38"/>
        <v>8</v>
      </c>
      <c r="U448" s="3" t="str">
        <f t="shared" si="39"/>
        <v>USTED ESTÁ AL DÍA</v>
      </c>
      <c r="V448" s="3" t="s">
        <v>27</v>
      </c>
      <c r="W448">
        <v>30</v>
      </c>
      <c r="X448">
        <v>30</v>
      </c>
      <c r="Y448">
        <f t="shared" si="40"/>
        <v>68</v>
      </c>
    </row>
    <row r="449" spans="1:25" ht="15.75" hidden="1" customHeight="1" x14ac:dyDescent="0.35">
      <c r="A449" s="3">
        <v>17343</v>
      </c>
      <c r="B449" s="3" t="s">
        <v>23</v>
      </c>
      <c r="C449" s="2">
        <v>46179</v>
      </c>
      <c r="D449" s="2">
        <v>46174</v>
      </c>
      <c r="E449" s="2">
        <v>46122</v>
      </c>
      <c r="F449" s="2">
        <v>46152</v>
      </c>
      <c r="G449" t="s">
        <v>552</v>
      </c>
      <c r="H449" t="s">
        <v>547</v>
      </c>
      <c r="I449" t="s">
        <v>35</v>
      </c>
      <c r="J449">
        <v>464</v>
      </c>
      <c r="K449">
        <v>465</v>
      </c>
      <c r="L449">
        <f t="shared" si="37"/>
        <v>1</v>
      </c>
      <c r="M449">
        <v>5</v>
      </c>
      <c r="O449">
        <v>5</v>
      </c>
      <c r="S449">
        <v>3</v>
      </c>
      <c r="T449" s="3">
        <f t="shared" si="38"/>
        <v>8</v>
      </c>
      <c r="U449" s="3" t="str">
        <f t="shared" si="39"/>
        <v>USTED ESTÁ AL DÍA</v>
      </c>
      <c r="V449" s="3" t="s">
        <v>27</v>
      </c>
      <c r="W449">
        <v>20</v>
      </c>
      <c r="Y449">
        <f t="shared" si="40"/>
        <v>28</v>
      </c>
    </row>
    <row r="450" spans="1:25" ht="15.75" hidden="1" customHeight="1" x14ac:dyDescent="0.35">
      <c r="A450" s="3">
        <v>17344</v>
      </c>
      <c r="B450" s="3" t="s">
        <v>23</v>
      </c>
      <c r="C450" s="2">
        <v>46179</v>
      </c>
      <c r="D450" s="2">
        <v>46174</v>
      </c>
      <c r="E450" s="2">
        <v>46122</v>
      </c>
      <c r="F450" s="2">
        <v>46152</v>
      </c>
      <c r="G450" t="s">
        <v>553</v>
      </c>
      <c r="H450" t="s">
        <v>547</v>
      </c>
      <c r="I450" t="s">
        <v>41</v>
      </c>
      <c r="J450">
        <v>2100</v>
      </c>
      <c r="K450">
        <v>2118</v>
      </c>
      <c r="L450">
        <f t="shared" ref="L450:L513" si="44">K450-J450</f>
        <v>18</v>
      </c>
      <c r="M450">
        <v>18</v>
      </c>
      <c r="N450">
        <f t="shared" ref="N450:N455" si="45">IF(L450&lt;&gt;M450,1,0)</f>
        <v>0</v>
      </c>
      <c r="O450">
        <v>18</v>
      </c>
      <c r="S450">
        <v>3</v>
      </c>
      <c r="T450" s="3">
        <f t="shared" ref="T450:T513" si="46">SUM(O450:S450)</f>
        <v>21</v>
      </c>
      <c r="U450" s="3" t="str">
        <f t="shared" ref="U450:U513" si="47">IF(P450&lt;8,"USTED ESTÁ AL DÍA","USTED NO ESTÁ AL DÍA")</f>
        <v>USTED ESTÁ AL DÍA</v>
      </c>
      <c r="V450" s="3" t="s">
        <v>27</v>
      </c>
      <c r="W450">
        <v>20</v>
      </c>
      <c r="X450">
        <v>50</v>
      </c>
      <c r="Y450">
        <f t="shared" ref="Y450:Y513" si="48">T450+W450+X450</f>
        <v>91</v>
      </c>
    </row>
    <row r="451" spans="1:25" ht="15.75" hidden="1" customHeight="1" x14ac:dyDescent="0.35">
      <c r="A451" s="3">
        <v>17345</v>
      </c>
      <c r="B451" s="3" t="s">
        <v>23</v>
      </c>
      <c r="C451" s="2">
        <v>46179</v>
      </c>
      <c r="D451" s="2">
        <v>46174</v>
      </c>
      <c r="E451" s="2">
        <v>46122</v>
      </c>
      <c r="F451" s="2">
        <v>46152</v>
      </c>
      <c r="G451" t="s">
        <v>554</v>
      </c>
      <c r="H451" t="s">
        <v>555</v>
      </c>
      <c r="I451" t="s">
        <v>26</v>
      </c>
      <c r="J451">
        <v>660</v>
      </c>
      <c r="K451">
        <v>676</v>
      </c>
      <c r="L451">
        <f t="shared" si="44"/>
        <v>16</v>
      </c>
      <c r="M451">
        <v>16</v>
      </c>
      <c r="N451">
        <f t="shared" si="45"/>
        <v>0</v>
      </c>
      <c r="O451">
        <v>16</v>
      </c>
      <c r="P451">
        <v>22</v>
      </c>
      <c r="S451">
        <v>3</v>
      </c>
      <c r="T451" s="3">
        <f t="shared" si="46"/>
        <v>41</v>
      </c>
      <c r="U451" s="3" t="str">
        <f t="shared" si="47"/>
        <v>USTED NO ESTÁ AL DÍA</v>
      </c>
      <c r="V451" s="3" t="s">
        <v>27</v>
      </c>
      <c r="X451">
        <v>75</v>
      </c>
      <c r="Y451">
        <f t="shared" si="48"/>
        <v>116</v>
      </c>
    </row>
    <row r="452" spans="1:25" ht="15.75" hidden="1" customHeight="1" x14ac:dyDescent="0.35">
      <c r="A452" s="3">
        <v>17346</v>
      </c>
      <c r="B452" s="3" t="s">
        <v>23</v>
      </c>
      <c r="C452" s="2">
        <v>46179</v>
      </c>
      <c r="D452" s="2">
        <v>46174</v>
      </c>
      <c r="E452" s="2">
        <v>46122</v>
      </c>
      <c r="F452" s="2">
        <v>46152</v>
      </c>
      <c r="G452" t="s">
        <v>556</v>
      </c>
      <c r="H452" t="s">
        <v>555</v>
      </c>
      <c r="I452" t="s">
        <v>33</v>
      </c>
      <c r="J452">
        <v>46</v>
      </c>
      <c r="K452">
        <v>67</v>
      </c>
      <c r="L452">
        <f t="shared" si="44"/>
        <v>21</v>
      </c>
      <c r="M452">
        <v>21</v>
      </c>
      <c r="N452">
        <f t="shared" si="45"/>
        <v>0</v>
      </c>
      <c r="O452">
        <v>21</v>
      </c>
      <c r="P452">
        <v>23</v>
      </c>
      <c r="R452">
        <v>25</v>
      </c>
      <c r="S452">
        <v>3</v>
      </c>
      <c r="T452" s="3">
        <f t="shared" si="46"/>
        <v>72</v>
      </c>
      <c r="U452" s="3" t="str">
        <f t="shared" si="47"/>
        <v>USTED NO ESTÁ AL DÍA</v>
      </c>
      <c r="V452" s="3" t="s">
        <v>27</v>
      </c>
      <c r="Y452">
        <f t="shared" si="48"/>
        <v>72</v>
      </c>
    </row>
    <row r="453" spans="1:25" ht="15.75" hidden="1" customHeight="1" x14ac:dyDescent="0.35">
      <c r="A453" s="3">
        <v>17347</v>
      </c>
      <c r="B453" s="3" t="s">
        <v>23</v>
      </c>
      <c r="C453" s="2">
        <v>46179</v>
      </c>
      <c r="D453" s="2">
        <v>46174</v>
      </c>
      <c r="E453" s="2">
        <v>46122</v>
      </c>
      <c r="F453" s="2">
        <v>46152</v>
      </c>
      <c r="G453" t="s">
        <v>557</v>
      </c>
      <c r="H453" t="s">
        <v>555</v>
      </c>
      <c r="I453" t="s">
        <v>35</v>
      </c>
      <c r="J453">
        <v>2274</v>
      </c>
      <c r="K453">
        <v>2292</v>
      </c>
      <c r="L453">
        <f t="shared" si="44"/>
        <v>18</v>
      </c>
      <c r="M453">
        <v>18</v>
      </c>
      <c r="N453">
        <f t="shared" si="45"/>
        <v>0</v>
      </c>
      <c r="O453">
        <v>18</v>
      </c>
      <c r="P453">
        <v>25</v>
      </c>
      <c r="S453">
        <v>3</v>
      </c>
      <c r="T453" s="3">
        <f t="shared" si="46"/>
        <v>46</v>
      </c>
      <c r="U453" s="3" t="str">
        <f t="shared" si="47"/>
        <v>USTED NO ESTÁ AL DÍA</v>
      </c>
      <c r="V453" s="3" t="s">
        <v>27</v>
      </c>
      <c r="W453">
        <v>30</v>
      </c>
      <c r="X453">
        <v>75</v>
      </c>
      <c r="Y453">
        <f t="shared" si="48"/>
        <v>151</v>
      </c>
    </row>
    <row r="454" spans="1:25" ht="15.75" hidden="1" customHeight="1" x14ac:dyDescent="0.35">
      <c r="A454" s="3">
        <v>17348</v>
      </c>
      <c r="B454" s="3" t="s">
        <v>23</v>
      </c>
      <c r="C454" s="2">
        <v>46179</v>
      </c>
      <c r="D454" s="2">
        <v>46174</v>
      </c>
      <c r="E454" s="2">
        <v>46122</v>
      </c>
      <c r="F454" s="2">
        <v>46152</v>
      </c>
      <c r="G454" t="s">
        <v>558</v>
      </c>
      <c r="H454" t="s">
        <v>555</v>
      </c>
      <c r="I454" t="s">
        <v>29</v>
      </c>
      <c r="J454">
        <v>2158</v>
      </c>
      <c r="K454">
        <v>2183</v>
      </c>
      <c r="L454">
        <f t="shared" si="44"/>
        <v>25</v>
      </c>
      <c r="M454">
        <v>25</v>
      </c>
      <c r="N454">
        <f t="shared" si="45"/>
        <v>0</v>
      </c>
      <c r="O454">
        <v>25</v>
      </c>
      <c r="S454">
        <v>3</v>
      </c>
      <c r="T454" s="3">
        <f t="shared" si="46"/>
        <v>28</v>
      </c>
      <c r="U454" s="3" t="str">
        <f t="shared" si="47"/>
        <v>USTED ESTÁ AL DÍA</v>
      </c>
      <c r="V454" s="3" t="s">
        <v>27</v>
      </c>
      <c r="W454">
        <v>20</v>
      </c>
      <c r="X454">
        <v>50</v>
      </c>
      <c r="Y454">
        <f t="shared" si="48"/>
        <v>98</v>
      </c>
    </row>
    <row r="455" spans="1:25" ht="15.75" hidden="1" customHeight="1" x14ac:dyDescent="0.35">
      <c r="A455" s="3">
        <v>17349</v>
      </c>
      <c r="B455" s="3" t="s">
        <v>23</v>
      </c>
      <c r="C455" s="2">
        <v>46179</v>
      </c>
      <c r="D455" s="2">
        <v>46174</v>
      </c>
      <c r="E455" s="2">
        <v>46122</v>
      </c>
      <c r="F455" s="2">
        <v>46152</v>
      </c>
      <c r="G455" t="s">
        <v>559</v>
      </c>
      <c r="H455" t="s">
        <v>555</v>
      </c>
      <c r="I455" t="s">
        <v>31</v>
      </c>
      <c r="J455">
        <v>22</v>
      </c>
      <c r="K455">
        <v>34</v>
      </c>
      <c r="L455">
        <f t="shared" si="44"/>
        <v>12</v>
      </c>
      <c r="M455">
        <v>12</v>
      </c>
      <c r="N455">
        <f t="shared" si="45"/>
        <v>0</v>
      </c>
      <c r="O455">
        <v>12</v>
      </c>
      <c r="R455">
        <v>25</v>
      </c>
      <c r="S455">
        <v>3</v>
      </c>
      <c r="T455" s="3">
        <f t="shared" si="46"/>
        <v>40</v>
      </c>
      <c r="U455" s="3" t="str">
        <f t="shared" si="47"/>
        <v>USTED ESTÁ AL DÍA</v>
      </c>
      <c r="V455" s="3" t="s">
        <v>27</v>
      </c>
      <c r="W455">
        <v>50</v>
      </c>
      <c r="Y455">
        <f t="shared" si="48"/>
        <v>90</v>
      </c>
    </row>
    <row r="456" spans="1:25" ht="15.75" hidden="1" customHeight="1" x14ac:dyDescent="0.35">
      <c r="A456" s="3">
        <v>17350</v>
      </c>
      <c r="B456" s="3" t="s">
        <v>23</v>
      </c>
      <c r="C456" s="2">
        <v>46179</v>
      </c>
      <c r="D456" s="2">
        <v>46174</v>
      </c>
      <c r="E456" s="2">
        <v>46122</v>
      </c>
      <c r="F456" s="2">
        <v>46152</v>
      </c>
      <c r="G456" t="s">
        <v>560</v>
      </c>
      <c r="H456" t="s">
        <v>555</v>
      </c>
      <c r="I456" t="s">
        <v>39</v>
      </c>
      <c r="J456">
        <v>194</v>
      </c>
      <c r="K456">
        <v>195</v>
      </c>
      <c r="L456">
        <f t="shared" si="44"/>
        <v>1</v>
      </c>
      <c r="M456">
        <v>5</v>
      </c>
      <c r="O456">
        <v>5</v>
      </c>
      <c r="S456">
        <v>3</v>
      </c>
      <c r="T456" s="3">
        <f t="shared" si="46"/>
        <v>8</v>
      </c>
      <c r="U456" s="3" t="str">
        <f t="shared" si="47"/>
        <v>USTED ESTÁ AL DÍA</v>
      </c>
      <c r="V456" s="3" t="s">
        <v>27</v>
      </c>
      <c r="W456">
        <v>50</v>
      </c>
      <c r="X456">
        <v>75</v>
      </c>
      <c r="Y456">
        <f t="shared" si="48"/>
        <v>133</v>
      </c>
    </row>
    <row r="457" spans="1:25" ht="15.75" hidden="1" customHeight="1" x14ac:dyDescent="0.35">
      <c r="A457" s="3">
        <v>17351</v>
      </c>
      <c r="B457" s="3" t="s">
        <v>23</v>
      </c>
      <c r="C457" s="2">
        <v>46179</v>
      </c>
      <c r="D457" s="2">
        <v>46174</v>
      </c>
      <c r="E457" s="2">
        <v>46122</v>
      </c>
      <c r="F457" s="2">
        <v>46152</v>
      </c>
      <c r="G457" t="s">
        <v>561</v>
      </c>
      <c r="H457" t="s">
        <v>555</v>
      </c>
      <c r="I457" t="s">
        <v>41</v>
      </c>
      <c r="J457">
        <v>345</v>
      </c>
      <c r="K457">
        <v>349</v>
      </c>
      <c r="L457">
        <f t="shared" si="44"/>
        <v>4</v>
      </c>
      <c r="M457">
        <v>5</v>
      </c>
      <c r="O457">
        <v>5</v>
      </c>
      <c r="S457">
        <v>3</v>
      </c>
      <c r="T457" s="3">
        <f t="shared" si="46"/>
        <v>8</v>
      </c>
      <c r="U457" s="3" t="str">
        <f t="shared" si="47"/>
        <v>USTED ESTÁ AL DÍA</v>
      </c>
      <c r="V457" s="3" t="s">
        <v>27</v>
      </c>
      <c r="W457">
        <v>30</v>
      </c>
      <c r="Y457">
        <f t="shared" si="48"/>
        <v>38</v>
      </c>
    </row>
    <row r="458" spans="1:25" ht="15.75" hidden="1" customHeight="1" x14ac:dyDescent="0.35">
      <c r="A458" s="3">
        <v>17352</v>
      </c>
      <c r="B458" s="3" t="s">
        <v>23</v>
      </c>
      <c r="C458" s="2">
        <v>46179</v>
      </c>
      <c r="D458" s="2">
        <v>46174</v>
      </c>
      <c r="E458" s="2">
        <v>46122</v>
      </c>
      <c r="F458" s="2">
        <v>46152</v>
      </c>
      <c r="G458" t="s">
        <v>562</v>
      </c>
      <c r="H458" t="s">
        <v>555</v>
      </c>
      <c r="I458" t="s">
        <v>43</v>
      </c>
      <c r="J458">
        <v>826</v>
      </c>
      <c r="K458">
        <v>831</v>
      </c>
      <c r="L458">
        <f t="shared" si="44"/>
        <v>5</v>
      </c>
      <c r="M458">
        <v>5</v>
      </c>
      <c r="O458">
        <v>5</v>
      </c>
      <c r="S458">
        <v>3</v>
      </c>
      <c r="T458" s="3">
        <f t="shared" si="46"/>
        <v>8</v>
      </c>
      <c r="U458" s="3" t="str">
        <f t="shared" si="47"/>
        <v>USTED ESTÁ AL DÍA</v>
      </c>
      <c r="V458" s="3" t="s">
        <v>27</v>
      </c>
      <c r="W458">
        <v>30</v>
      </c>
      <c r="X458">
        <v>50</v>
      </c>
      <c r="Y458">
        <f t="shared" si="48"/>
        <v>88</v>
      </c>
    </row>
    <row r="459" spans="1:25" ht="15.75" hidden="1" customHeight="1" x14ac:dyDescent="0.35">
      <c r="A459" s="3">
        <v>17353</v>
      </c>
      <c r="B459" s="3" t="s">
        <v>23</v>
      </c>
      <c r="C459" s="2">
        <v>46179</v>
      </c>
      <c r="D459" s="2">
        <v>46174</v>
      </c>
      <c r="E459" s="2">
        <v>46122</v>
      </c>
      <c r="F459" s="2">
        <v>46152</v>
      </c>
      <c r="G459" t="s">
        <v>563</v>
      </c>
      <c r="H459" t="s">
        <v>555</v>
      </c>
      <c r="I459" t="s">
        <v>45</v>
      </c>
      <c r="J459">
        <v>1821</v>
      </c>
      <c r="K459">
        <v>1825</v>
      </c>
      <c r="L459">
        <f t="shared" si="44"/>
        <v>4</v>
      </c>
      <c r="M459">
        <v>5</v>
      </c>
      <c r="O459">
        <v>5</v>
      </c>
      <c r="S459">
        <v>3</v>
      </c>
      <c r="T459" s="3">
        <f t="shared" si="46"/>
        <v>8</v>
      </c>
      <c r="U459" s="3" t="str">
        <f t="shared" si="47"/>
        <v>USTED ESTÁ AL DÍA</v>
      </c>
      <c r="V459" s="3" t="s">
        <v>27</v>
      </c>
      <c r="Y459">
        <f t="shared" si="48"/>
        <v>8</v>
      </c>
    </row>
    <row r="460" spans="1:25" ht="15.75" hidden="1" customHeight="1" x14ac:dyDescent="0.35">
      <c r="A460" s="3">
        <v>17354</v>
      </c>
      <c r="B460" s="3" t="s">
        <v>23</v>
      </c>
      <c r="C460" s="2">
        <v>46179</v>
      </c>
      <c r="D460" s="2">
        <v>46174</v>
      </c>
      <c r="E460" s="2">
        <v>46122</v>
      </c>
      <c r="F460" s="2">
        <v>46152</v>
      </c>
      <c r="G460" t="s">
        <v>564</v>
      </c>
      <c r="H460" t="s">
        <v>555</v>
      </c>
      <c r="I460" t="s">
        <v>47</v>
      </c>
      <c r="J460">
        <v>1397</v>
      </c>
      <c r="K460">
        <v>1399</v>
      </c>
      <c r="L460">
        <f t="shared" si="44"/>
        <v>2</v>
      </c>
      <c r="M460">
        <v>5</v>
      </c>
      <c r="O460">
        <v>5</v>
      </c>
      <c r="S460">
        <v>3</v>
      </c>
      <c r="T460" s="3">
        <f t="shared" si="46"/>
        <v>8</v>
      </c>
      <c r="U460" s="3" t="str">
        <f t="shared" si="47"/>
        <v>USTED ESTÁ AL DÍA</v>
      </c>
      <c r="V460" s="3" t="s">
        <v>27</v>
      </c>
      <c r="Y460">
        <f t="shared" si="48"/>
        <v>8</v>
      </c>
    </row>
    <row r="461" spans="1:25" ht="15.75" hidden="1" customHeight="1" x14ac:dyDescent="0.35">
      <c r="A461" s="3">
        <v>17355</v>
      </c>
      <c r="B461" s="3" t="s">
        <v>23</v>
      </c>
      <c r="C461" s="2">
        <v>46179</v>
      </c>
      <c r="D461" s="2">
        <v>46174</v>
      </c>
      <c r="E461" s="2">
        <v>46122</v>
      </c>
      <c r="F461" s="2">
        <v>46152</v>
      </c>
      <c r="G461" t="s">
        <v>565</v>
      </c>
      <c r="H461" t="s">
        <v>555</v>
      </c>
      <c r="I461" t="s">
        <v>66</v>
      </c>
      <c r="J461">
        <v>65</v>
      </c>
      <c r="K461">
        <v>66</v>
      </c>
      <c r="L461">
        <f t="shared" si="44"/>
        <v>1</v>
      </c>
      <c r="M461">
        <v>5</v>
      </c>
      <c r="O461">
        <v>5</v>
      </c>
      <c r="S461">
        <v>3</v>
      </c>
      <c r="T461" s="3">
        <f t="shared" si="46"/>
        <v>8</v>
      </c>
      <c r="U461" s="3" t="str">
        <f t="shared" si="47"/>
        <v>USTED ESTÁ AL DÍA</v>
      </c>
      <c r="V461" s="3" t="s">
        <v>27</v>
      </c>
      <c r="W461">
        <v>30</v>
      </c>
      <c r="Y461">
        <f t="shared" si="48"/>
        <v>38</v>
      </c>
    </row>
    <row r="462" spans="1:25" ht="15.75" hidden="1" customHeight="1" x14ac:dyDescent="0.35">
      <c r="A462" s="3">
        <v>17356</v>
      </c>
      <c r="B462" s="3" t="s">
        <v>23</v>
      </c>
      <c r="C462" s="2">
        <v>46179</v>
      </c>
      <c r="D462" s="2">
        <v>46174</v>
      </c>
      <c r="E462" s="2">
        <v>46122</v>
      </c>
      <c r="F462" s="2">
        <v>46152</v>
      </c>
      <c r="G462" t="s">
        <v>566</v>
      </c>
      <c r="H462" t="s">
        <v>555</v>
      </c>
      <c r="I462" t="s">
        <v>68</v>
      </c>
      <c r="J462">
        <v>4516</v>
      </c>
      <c r="K462">
        <v>4534</v>
      </c>
      <c r="L462">
        <f t="shared" si="44"/>
        <v>18</v>
      </c>
      <c r="M462">
        <v>18</v>
      </c>
      <c r="N462">
        <f>IF(L462&lt;&gt;M462,1,0)</f>
        <v>0</v>
      </c>
      <c r="O462">
        <v>18</v>
      </c>
      <c r="S462">
        <v>3</v>
      </c>
      <c r="T462" s="3">
        <f t="shared" si="46"/>
        <v>21</v>
      </c>
      <c r="U462" s="3" t="str">
        <f t="shared" si="47"/>
        <v>USTED ESTÁ AL DÍA</v>
      </c>
      <c r="V462" s="3" t="s">
        <v>27</v>
      </c>
      <c r="W462">
        <v>50</v>
      </c>
      <c r="X462">
        <v>50</v>
      </c>
      <c r="Y462">
        <f t="shared" si="48"/>
        <v>121</v>
      </c>
    </row>
    <row r="463" spans="1:25" ht="15.75" hidden="1" customHeight="1" x14ac:dyDescent="0.35">
      <c r="A463" s="3">
        <v>17357</v>
      </c>
      <c r="B463" s="3" t="s">
        <v>23</v>
      </c>
      <c r="C463" s="2">
        <v>46179</v>
      </c>
      <c r="D463" s="2">
        <v>46174</v>
      </c>
      <c r="E463" s="2">
        <v>46122</v>
      </c>
      <c r="F463" s="2">
        <v>46152</v>
      </c>
      <c r="G463" t="s">
        <v>567</v>
      </c>
      <c r="H463" t="s">
        <v>555</v>
      </c>
      <c r="I463" t="s">
        <v>101</v>
      </c>
      <c r="J463">
        <v>1578</v>
      </c>
      <c r="K463">
        <v>1588</v>
      </c>
      <c r="L463">
        <f t="shared" si="44"/>
        <v>10</v>
      </c>
      <c r="M463">
        <v>10</v>
      </c>
      <c r="N463">
        <f>IF(L463&lt;&gt;M463,1,0)</f>
        <v>0</v>
      </c>
      <c r="O463">
        <v>10</v>
      </c>
      <c r="S463">
        <v>3</v>
      </c>
      <c r="T463" s="3">
        <f t="shared" si="46"/>
        <v>13</v>
      </c>
      <c r="U463" s="3" t="str">
        <f t="shared" si="47"/>
        <v>USTED ESTÁ AL DÍA</v>
      </c>
      <c r="V463" s="3" t="s">
        <v>27</v>
      </c>
      <c r="Y463">
        <f t="shared" si="48"/>
        <v>13</v>
      </c>
    </row>
    <row r="464" spans="1:25" ht="15.75" hidden="1" customHeight="1" x14ac:dyDescent="0.35">
      <c r="A464" s="3">
        <v>17358</v>
      </c>
      <c r="B464" s="3" t="s">
        <v>23</v>
      </c>
      <c r="C464" s="2">
        <v>46179</v>
      </c>
      <c r="D464" s="2">
        <v>46174</v>
      </c>
      <c r="E464" s="2">
        <v>46122</v>
      </c>
      <c r="F464" s="2">
        <v>46152</v>
      </c>
      <c r="G464" t="s">
        <v>568</v>
      </c>
      <c r="H464" t="s">
        <v>555</v>
      </c>
      <c r="I464" t="s">
        <v>37</v>
      </c>
      <c r="L464">
        <f t="shared" si="44"/>
        <v>0</v>
      </c>
      <c r="S464">
        <v>0</v>
      </c>
      <c r="T464" s="3">
        <f t="shared" si="46"/>
        <v>0</v>
      </c>
      <c r="U464" s="3" t="str">
        <f t="shared" si="47"/>
        <v>USTED ESTÁ AL DÍA</v>
      </c>
      <c r="V464" s="3" t="s">
        <v>27</v>
      </c>
      <c r="W464">
        <v>50</v>
      </c>
      <c r="X464">
        <v>75</v>
      </c>
      <c r="Y464">
        <f t="shared" si="48"/>
        <v>125</v>
      </c>
    </row>
    <row r="465" spans="1:25" ht="15.75" hidden="1" customHeight="1" x14ac:dyDescent="0.35">
      <c r="A465" s="3">
        <v>17359</v>
      </c>
      <c r="B465" s="3" t="s">
        <v>23</v>
      </c>
      <c r="C465" s="2">
        <v>46179</v>
      </c>
      <c r="D465" s="2">
        <v>46174</v>
      </c>
      <c r="E465" s="2">
        <v>46122</v>
      </c>
      <c r="F465" s="2">
        <v>46152</v>
      </c>
      <c r="G465" t="s">
        <v>569</v>
      </c>
      <c r="H465" t="s">
        <v>555</v>
      </c>
      <c r="I465" t="s">
        <v>97</v>
      </c>
      <c r="L465">
        <f t="shared" si="44"/>
        <v>0</v>
      </c>
      <c r="S465">
        <v>0</v>
      </c>
      <c r="T465" s="3">
        <f t="shared" si="46"/>
        <v>0</v>
      </c>
      <c r="U465" s="3" t="str">
        <f t="shared" si="47"/>
        <v>USTED ESTÁ AL DÍA</v>
      </c>
      <c r="V465" s="3" t="s">
        <v>27</v>
      </c>
      <c r="W465">
        <v>50</v>
      </c>
      <c r="X465">
        <v>75</v>
      </c>
      <c r="Y465">
        <f t="shared" si="48"/>
        <v>125</v>
      </c>
    </row>
    <row r="466" spans="1:25" ht="15.75" hidden="1" customHeight="1" x14ac:dyDescent="0.35">
      <c r="A466" s="3">
        <v>17360</v>
      </c>
      <c r="B466" s="3" t="s">
        <v>23</v>
      </c>
      <c r="C466" s="2">
        <v>46179</v>
      </c>
      <c r="D466" s="2">
        <v>46174</v>
      </c>
      <c r="E466" s="2">
        <v>46122</v>
      </c>
      <c r="F466" s="2">
        <v>46152</v>
      </c>
      <c r="G466" t="s">
        <v>570</v>
      </c>
      <c r="H466" t="s">
        <v>571</v>
      </c>
      <c r="I466" t="s">
        <v>43</v>
      </c>
      <c r="J466">
        <v>601</v>
      </c>
      <c r="K466">
        <v>601</v>
      </c>
      <c r="L466">
        <f t="shared" si="44"/>
        <v>0</v>
      </c>
      <c r="M466">
        <v>5</v>
      </c>
      <c r="O466">
        <v>5</v>
      </c>
      <c r="P466">
        <v>176</v>
      </c>
      <c r="Q466">
        <v>40</v>
      </c>
      <c r="S466">
        <v>3</v>
      </c>
      <c r="T466" s="3">
        <f t="shared" si="46"/>
        <v>224</v>
      </c>
      <c r="U466" s="3" t="str">
        <f t="shared" si="47"/>
        <v>USTED NO ESTÁ AL DÍA</v>
      </c>
      <c r="V466" s="3" t="s">
        <v>27</v>
      </c>
      <c r="W466">
        <v>120</v>
      </c>
      <c r="X466">
        <v>75</v>
      </c>
      <c r="Y466">
        <f t="shared" si="48"/>
        <v>419</v>
      </c>
    </row>
    <row r="467" spans="1:25" ht="15.75" hidden="1" customHeight="1" x14ac:dyDescent="0.35">
      <c r="A467" s="3">
        <v>17361</v>
      </c>
      <c r="B467" s="3" t="s">
        <v>23</v>
      </c>
      <c r="C467" s="2">
        <v>46179</v>
      </c>
      <c r="D467" s="2">
        <v>46174</v>
      </c>
      <c r="E467" s="2">
        <v>46122</v>
      </c>
      <c r="F467" s="2">
        <v>46152</v>
      </c>
      <c r="G467" t="s">
        <v>572</v>
      </c>
      <c r="H467" t="s">
        <v>571</v>
      </c>
      <c r="I467" t="s">
        <v>93</v>
      </c>
      <c r="J467">
        <v>2403</v>
      </c>
      <c r="K467">
        <v>2403</v>
      </c>
      <c r="L467">
        <f t="shared" si="44"/>
        <v>0</v>
      </c>
      <c r="M467">
        <v>5</v>
      </c>
      <c r="O467">
        <v>5</v>
      </c>
      <c r="P467">
        <v>168</v>
      </c>
      <c r="Q467">
        <v>40</v>
      </c>
      <c r="S467">
        <v>3</v>
      </c>
      <c r="T467" s="3">
        <f t="shared" si="46"/>
        <v>216</v>
      </c>
      <c r="U467" s="3" t="str">
        <f t="shared" si="47"/>
        <v>USTED NO ESTÁ AL DÍA</v>
      </c>
      <c r="V467" s="3" t="s">
        <v>27</v>
      </c>
      <c r="W467">
        <v>120</v>
      </c>
      <c r="X467">
        <v>75</v>
      </c>
      <c r="Y467">
        <f t="shared" si="48"/>
        <v>411</v>
      </c>
    </row>
    <row r="468" spans="1:25" ht="15.75" hidden="1" customHeight="1" x14ac:dyDescent="0.35">
      <c r="A468" s="3">
        <v>17362</v>
      </c>
      <c r="B468" s="3" t="s">
        <v>23</v>
      </c>
      <c r="C468" s="2">
        <v>46179</v>
      </c>
      <c r="D468" s="2">
        <v>46174</v>
      </c>
      <c r="E468" s="2">
        <v>46122</v>
      </c>
      <c r="F468" s="2">
        <v>46152</v>
      </c>
      <c r="G468" t="s">
        <v>573</v>
      </c>
      <c r="H468" t="s">
        <v>571</v>
      </c>
      <c r="I468" t="s">
        <v>26</v>
      </c>
      <c r="J468">
        <v>2701</v>
      </c>
      <c r="K468">
        <v>2712</v>
      </c>
      <c r="L468">
        <f t="shared" si="44"/>
        <v>11</v>
      </c>
      <c r="M468">
        <v>11</v>
      </c>
      <c r="N468">
        <f>IF(L468&lt;&gt;M468,1,0)</f>
        <v>0</v>
      </c>
      <c r="O468">
        <v>11</v>
      </c>
      <c r="S468">
        <v>3</v>
      </c>
      <c r="T468" s="3">
        <f t="shared" si="46"/>
        <v>14</v>
      </c>
      <c r="U468" s="3" t="str">
        <f t="shared" si="47"/>
        <v>USTED ESTÁ AL DÍA</v>
      </c>
      <c r="V468" s="3" t="s">
        <v>27</v>
      </c>
      <c r="Y468">
        <f t="shared" si="48"/>
        <v>14</v>
      </c>
    </row>
    <row r="469" spans="1:25" ht="15.75" hidden="1" customHeight="1" x14ac:dyDescent="0.35">
      <c r="A469" s="3">
        <v>17363</v>
      </c>
      <c r="B469" s="3" t="s">
        <v>23</v>
      </c>
      <c r="C469" s="2">
        <v>46179</v>
      </c>
      <c r="D469" s="2">
        <v>46174</v>
      </c>
      <c r="E469" s="2">
        <v>46122</v>
      </c>
      <c r="F469" s="2">
        <v>46152</v>
      </c>
      <c r="G469" t="s">
        <v>574</v>
      </c>
      <c r="H469" t="s">
        <v>571</v>
      </c>
      <c r="I469" t="s">
        <v>31</v>
      </c>
      <c r="J469">
        <v>183</v>
      </c>
      <c r="K469">
        <v>191</v>
      </c>
      <c r="L469">
        <f t="shared" si="44"/>
        <v>8</v>
      </c>
      <c r="M469">
        <v>8</v>
      </c>
      <c r="N469">
        <f>IF(L469&lt;&gt;M469,1,0)</f>
        <v>0</v>
      </c>
      <c r="O469">
        <v>8</v>
      </c>
      <c r="S469">
        <v>3</v>
      </c>
      <c r="T469" s="3">
        <f t="shared" si="46"/>
        <v>11</v>
      </c>
      <c r="U469" s="3" t="str">
        <f t="shared" si="47"/>
        <v>USTED ESTÁ AL DÍA</v>
      </c>
      <c r="V469" s="3" t="s">
        <v>27</v>
      </c>
      <c r="Y469">
        <f t="shared" si="48"/>
        <v>11</v>
      </c>
    </row>
    <row r="470" spans="1:25" ht="15.75" hidden="1" customHeight="1" x14ac:dyDescent="0.35">
      <c r="A470" s="3">
        <v>17364</v>
      </c>
      <c r="B470" s="3" t="s">
        <v>23</v>
      </c>
      <c r="C470" s="2">
        <v>46179</v>
      </c>
      <c r="D470" s="2">
        <v>46174</v>
      </c>
      <c r="E470" s="2">
        <v>46122</v>
      </c>
      <c r="F470" s="2">
        <v>46152</v>
      </c>
      <c r="G470" t="s">
        <v>575</v>
      </c>
      <c r="H470" t="s">
        <v>571</v>
      </c>
      <c r="I470" t="s">
        <v>33</v>
      </c>
      <c r="J470">
        <v>1430</v>
      </c>
      <c r="K470">
        <v>1438</v>
      </c>
      <c r="L470">
        <f t="shared" si="44"/>
        <v>8</v>
      </c>
      <c r="M470">
        <v>8</v>
      </c>
      <c r="N470">
        <f>IF(L470&lt;&gt;M470,1,0)</f>
        <v>0</v>
      </c>
      <c r="O470">
        <v>8</v>
      </c>
      <c r="S470">
        <v>3</v>
      </c>
      <c r="T470" s="3">
        <f t="shared" si="46"/>
        <v>11</v>
      </c>
      <c r="U470" s="3" t="str">
        <f t="shared" si="47"/>
        <v>USTED ESTÁ AL DÍA</v>
      </c>
      <c r="V470" s="3" t="s">
        <v>27</v>
      </c>
      <c r="X470">
        <v>50</v>
      </c>
      <c r="Y470">
        <f t="shared" si="48"/>
        <v>61</v>
      </c>
    </row>
    <row r="471" spans="1:25" ht="15.75" hidden="1" customHeight="1" x14ac:dyDescent="0.35">
      <c r="A471" s="3">
        <v>17365</v>
      </c>
      <c r="B471" s="3" t="s">
        <v>23</v>
      </c>
      <c r="C471" s="2">
        <v>46179</v>
      </c>
      <c r="D471" s="2">
        <v>46174</v>
      </c>
      <c r="E471" s="2">
        <v>46122</v>
      </c>
      <c r="F471" s="2">
        <v>46152</v>
      </c>
      <c r="G471" t="s">
        <v>576</v>
      </c>
      <c r="H471" t="s">
        <v>571</v>
      </c>
      <c r="I471" t="s">
        <v>35</v>
      </c>
      <c r="J471">
        <v>372</v>
      </c>
      <c r="K471">
        <v>372</v>
      </c>
      <c r="L471">
        <f t="shared" si="44"/>
        <v>0</v>
      </c>
      <c r="M471">
        <v>5</v>
      </c>
      <c r="O471">
        <v>5</v>
      </c>
      <c r="S471">
        <v>3</v>
      </c>
      <c r="T471" s="3">
        <f t="shared" si="46"/>
        <v>8</v>
      </c>
      <c r="U471" s="3" t="str">
        <f t="shared" si="47"/>
        <v>USTED ESTÁ AL DÍA</v>
      </c>
      <c r="V471" s="3" t="s">
        <v>27</v>
      </c>
      <c r="Y471">
        <f t="shared" si="48"/>
        <v>8</v>
      </c>
    </row>
    <row r="472" spans="1:25" ht="15.75" hidden="1" customHeight="1" x14ac:dyDescent="0.35">
      <c r="A472" s="3">
        <v>17366</v>
      </c>
      <c r="B472" s="3" t="s">
        <v>23</v>
      </c>
      <c r="C472" s="2">
        <v>46179</v>
      </c>
      <c r="D472" s="2">
        <v>46174</v>
      </c>
      <c r="E472" s="2">
        <v>46122</v>
      </c>
      <c r="F472" s="2">
        <v>46152</v>
      </c>
      <c r="G472" t="s">
        <v>577</v>
      </c>
      <c r="H472" t="s">
        <v>571</v>
      </c>
      <c r="I472" t="s">
        <v>37</v>
      </c>
      <c r="J472">
        <v>195</v>
      </c>
      <c r="K472">
        <v>230</v>
      </c>
      <c r="L472">
        <f t="shared" si="44"/>
        <v>35</v>
      </c>
      <c r="M472">
        <v>35</v>
      </c>
      <c r="N472">
        <f>IF(L472&lt;&gt;M472,1,0)</f>
        <v>0</v>
      </c>
      <c r="O472">
        <v>35</v>
      </c>
      <c r="S472">
        <v>3</v>
      </c>
      <c r="T472" s="3">
        <f t="shared" si="46"/>
        <v>38</v>
      </c>
      <c r="U472" s="3" t="str">
        <f t="shared" si="47"/>
        <v>USTED ESTÁ AL DÍA</v>
      </c>
      <c r="V472" s="3" t="s">
        <v>27</v>
      </c>
      <c r="Y472">
        <f t="shared" si="48"/>
        <v>38</v>
      </c>
    </row>
    <row r="473" spans="1:25" ht="15.75" hidden="1" customHeight="1" x14ac:dyDescent="0.35">
      <c r="A473" s="3">
        <v>17367</v>
      </c>
      <c r="B473" s="3" t="s">
        <v>23</v>
      </c>
      <c r="C473" s="2">
        <v>46179</v>
      </c>
      <c r="D473" s="2">
        <v>46174</v>
      </c>
      <c r="E473" s="2">
        <v>46122</v>
      </c>
      <c r="F473" s="2">
        <v>46152</v>
      </c>
      <c r="G473" t="s">
        <v>578</v>
      </c>
      <c r="H473" t="s">
        <v>571</v>
      </c>
      <c r="I473" t="s">
        <v>39</v>
      </c>
      <c r="J473">
        <v>35</v>
      </c>
      <c r="K473">
        <v>52</v>
      </c>
      <c r="L473">
        <f t="shared" si="44"/>
        <v>17</v>
      </c>
      <c r="M473">
        <v>17</v>
      </c>
      <c r="N473">
        <f>IF(L473&lt;&gt;M473,1,0)</f>
        <v>0</v>
      </c>
      <c r="O473">
        <v>17</v>
      </c>
      <c r="R473">
        <v>25</v>
      </c>
      <c r="S473">
        <v>3</v>
      </c>
      <c r="T473" s="3">
        <f t="shared" si="46"/>
        <v>45</v>
      </c>
      <c r="U473" s="3" t="str">
        <f t="shared" si="47"/>
        <v>USTED ESTÁ AL DÍA</v>
      </c>
      <c r="V473" s="3" t="s">
        <v>27</v>
      </c>
      <c r="X473">
        <v>50</v>
      </c>
      <c r="Y473">
        <f t="shared" si="48"/>
        <v>95</v>
      </c>
    </row>
    <row r="474" spans="1:25" ht="15.75" hidden="1" customHeight="1" x14ac:dyDescent="0.35">
      <c r="A474" s="3">
        <v>17368</v>
      </c>
      <c r="B474" s="3" t="s">
        <v>23</v>
      </c>
      <c r="C474" s="2">
        <v>46179</v>
      </c>
      <c r="D474" s="2">
        <v>46174</v>
      </c>
      <c r="E474" s="2">
        <v>46122</v>
      </c>
      <c r="F474" s="2">
        <v>46152</v>
      </c>
      <c r="G474" t="s">
        <v>579</v>
      </c>
      <c r="H474" t="s">
        <v>571</v>
      </c>
      <c r="I474" t="s">
        <v>41</v>
      </c>
      <c r="J474">
        <v>28</v>
      </c>
      <c r="K474">
        <v>39</v>
      </c>
      <c r="L474">
        <f t="shared" si="44"/>
        <v>11</v>
      </c>
      <c r="M474">
        <v>11</v>
      </c>
      <c r="N474">
        <f>IF(L474&lt;&gt;M474,1,0)</f>
        <v>0</v>
      </c>
      <c r="O474">
        <v>11</v>
      </c>
      <c r="R474">
        <v>25</v>
      </c>
      <c r="S474">
        <v>3</v>
      </c>
      <c r="T474" s="3">
        <f t="shared" si="46"/>
        <v>39</v>
      </c>
      <c r="U474" s="3" t="str">
        <f t="shared" si="47"/>
        <v>USTED ESTÁ AL DÍA</v>
      </c>
      <c r="V474" s="3" t="s">
        <v>27</v>
      </c>
      <c r="W474">
        <v>30</v>
      </c>
      <c r="Y474">
        <f t="shared" si="48"/>
        <v>69</v>
      </c>
    </row>
    <row r="475" spans="1:25" ht="15.75" hidden="1" customHeight="1" x14ac:dyDescent="0.35">
      <c r="A475" s="3">
        <v>17369</v>
      </c>
      <c r="B475" s="3" t="s">
        <v>23</v>
      </c>
      <c r="C475" s="2">
        <v>46179</v>
      </c>
      <c r="D475" s="2">
        <v>46174</v>
      </c>
      <c r="E475" s="2">
        <v>46122</v>
      </c>
      <c r="F475" s="2">
        <v>46152</v>
      </c>
      <c r="G475" t="s">
        <v>580</v>
      </c>
      <c r="H475" t="s">
        <v>571</v>
      </c>
      <c r="I475" t="s">
        <v>45</v>
      </c>
      <c r="J475">
        <v>237</v>
      </c>
      <c r="K475">
        <v>263</v>
      </c>
      <c r="L475">
        <f t="shared" si="44"/>
        <v>26</v>
      </c>
      <c r="M475">
        <v>26</v>
      </c>
      <c r="N475">
        <f>IF(L475&lt;&gt;M475,1,0)</f>
        <v>0</v>
      </c>
      <c r="O475">
        <v>26</v>
      </c>
      <c r="S475">
        <v>3</v>
      </c>
      <c r="T475" s="3">
        <f t="shared" si="46"/>
        <v>29</v>
      </c>
      <c r="U475" s="3" t="str">
        <f t="shared" si="47"/>
        <v>USTED ESTÁ AL DÍA</v>
      </c>
      <c r="V475" s="3" t="s">
        <v>27</v>
      </c>
      <c r="X475">
        <v>50</v>
      </c>
      <c r="Y475">
        <f t="shared" si="48"/>
        <v>79</v>
      </c>
    </row>
    <row r="476" spans="1:25" ht="15.75" hidden="1" customHeight="1" x14ac:dyDescent="0.35">
      <c r="A476" s="3">
        <v>17370</v>
      </c>
      <c r="B476" s="3" t="s">
        <v>23</v>
      </c>
      <c r="C476" s="2">
        <v>46179</v>
      </c>
      <c r="D476" s="2">
        <v>46174</v>
      </c>
      <c r="E476" s="2">
        <v>46122</v>
      </c>
      <c r="F476" s="2">
        <v>46152</v>
      </c>
      <c r="G476" t="s">
        <v>581</v>
      </c>
      <c r="H476" t="s">
        <v>571</v>
      </c>
      <c r="I476" t="s">
        <v>47</v>
      </c>
      <c r="J476">
        <v>507</v>
      </c>
      <c r="K476">
        <v>510</v>
      </c>
      <c r="L476">
        <f t="shared" si="44"/>
        <v>3</v>
      </c>
      <c r="M476">
        <v>5</v>
      </c>
      <c r="O476">
        <v>5</v>
      </c>
      <c r="S476">
        <v>3</v>
      </c>
      <c r="T476" s="3">
        <f t="shared" si="46"/>
        <v>8</v>
      </c>
      <c r="U476" s="3" t="str">
        <f t="shared" si="47"/>
        <v>USTED ESTÁ AL DÍA</v>
      </c>
      <c r="V476" s="3" t="s">
        <v>27</v>
      </c>
      <c r="W476">
        <v>30</v>
      </c>
      <c r="Y476">
        <f t="shared" si="48"/>
        <v>38</v>
      </c>
    </row>
    <row r="477" spans="1:25" ht="15.75" hidden="1" customHeight="1" x14ac:dyDescent="0.35">
      <c r="A477" s="3">
        <v>17371</v>
      </c>
      <c r="B477" s="3" t="s">
        <v>23</v>
      </c>
      <c r="C477" s="2">
        <v>46179</v>
      </c>
      <c r="D477" s="2">
        <v>46174</v>
      </c>
      <c r="E477" s="2">
        <v>46122</v>
      </c>
      <c r="F477" s="2">
        <v>46152</v>
      </c>
      <c r="G477" t="s">
        <v>582</v>
      </c>
      <c r="H477" t="s">
        <v>571</v>
      </c>
      <c r="I477" t="s">
        <v>68</v>
      </c>
      <c r="J477">
        <v>60</v>
      </c>
      <c r="K477">
        <v>67</v>
      </c>
      <c r="L477">
        <f t="shared" si="44"/>
        <v>7</v>
      </c>
      <c r="M477">
        <v>7</v>
      </c>
      <c r="N477">
        <f>IF(L477&lt;&gt;M477,1,0)</f>
        <v>0</v>
      </c>
      <c r="O477">
        <v>7</v>
      </c>
      <c r="S477">
        <v>3</v>
      </c>
      <c r="T477" s="3">
        <f t="shared" si="46"/>
        <v>10</v>
      </c>
      <c r="U477" s="3" t="str">
        <f t="shared" si="47"/>
        <v>USTED ESTÁ AL DÍA</v>
      </c>
      <c r="V477" s="3" t="s">
        <v>27</v>
      </c>
      <c r="W477">
        <v>20</v>
      </c>
      <c r="X477">
        <v>75</v>
      </c>
      <c r="Y477">
        <f t="shared" si="48"/>
        <v>105</v>
      </c>
    </row>
    <row r="478" spans="1:25" ht="15.75" hidden="1" customHeight="1" x14ac:dyDescent="0.35">
      <c r="A478" s="3">
        <v>17372</v>
      </c>
      <c r="B478" s="3" t="s">
        <v>23</v>
      </c>
      <c r="C478" s="2">
        <v>46179</v>
      </c>
      <c r="D478" s="2">
        <v>46174</v>
      </c>
      <c r="E478" s="2">
        <v>46122</v>
      </c>
      <c r="F478" s="2">
        <v>46152</v>
      </c>
      <c r="G478" t="s">
        <v>583</v>
      </c>
      <c r="H478" t="s">
        <v>571</v>
      </c>
      <c r="I478" t="s">
        <v>97</v>
      </c>
      <c r="J478">
        <v>23</v>
      </c>
      <c r="K478">
        <v>33</v>
      </c>
      <c r="L478">
        <f t="shared" si="44"/>
        <v>10</v>
      </c>
      <c r="M478">
        <v>10</v>
      </c>
      <c r="N478">
        <f>IF(L478&lt;&gt;M478,1,0)</f>
        <v>0</v>
      </c>
      <c r="O478">
        <v>10</v>
      </c>
      <c r="Q478">
        <v>40</v>
      </c>
      <c r="R478">
        <v>25</v>
      </c>
      <c r="S478">
        <v>3</v>
      </c>
      <c r="T478" s="3">
        <f t="shared" si="46"/>
        <v>78</v>
      </c>
      <c r="U478" s="3" t="str">
        <f t="shared" si="47"/>
        <v>USTED ESTÁ AL DÍA</v>
      </c>
      <c r="V478" s="3" t="s">
        <v>27</v>
      </c>
      <c r="W478">
        <v>20</v>
      </c>
      <c r="X478">
        <v>75</v>
      </c>
      <c r="Y478">
        <f t="shared" si="48"/>
        <v>173</v>
      </c>
    </row>
    <row r="479" spans="1:25" ht="15.75" hidden="1" customHeight="1" x14ac:dyDescent="0.35">
      <c r="A479" s="3">
        <v>17373</v>
      </c>
      <c r="B479" s="3" t="s">
        <v>23</v>
      </c>
      <c r="C479" s="2">
        <v>46179</v>
      </c>
      <c r="D479" s="2">
        <v>46174</v>
      </c>
      <c r="E479" s="2">
        <v>46122</v>
      </c>
      <c r="F479" s="2">
        <v>46152</v>
      </c>
      <c r="G479" t="s">
        <v>584</v>
      </c>
      <c r="H479" t="s">
        <v>571</v>
      </c>
      <c r="I479" t="s">
        <v>101</v>
      </c>
      <c r="J479">
        <v>369</v>
      </c>
      <c r="K479">
        <v>371</v>
      </c>
      <c r="L479">
        <f t="shared" si="44"/>
        <v>2</v>
      </c>
      <c r="M479">
        <v>5</v>
      </c>
      <c r="O479">
        <v>5</v>
      </c>
      <c r="S479">
        <v>3</v>
      </c>
      <c r="T479" s="3">
        <f t="shared" si="46"/>
        <v>8</v>
      </c>
      <c r="U479" s="3" t="str">
        <f t="shared" si="47"/>
        <v>USTED ESTÁ AL DÍA</v>
      </c>
      <c r="V479" s="3" t="s">
        <v>27</v>
      </c>
      <c r="Y479">
        <f t="shared" si="48"/>
        <v>8</v>
      </c>
    </row>
    <row r="480" spans="1:25" ht="15.75" hidden="1" customHeight="1" x14ac:dyDescent="0.35">
      <c r="A480" s="3">
        <v>17374</v>
      </c>
      <c r="B480" s="3" t="s">
        <v>23</v>
      </c>
      <c r="C480" s="2">
        <v>46179</v>
      </c>
      <c r="D480" s="2">
        <v>46174</v>
      </c>
      <c r="E480" s="2">
        <v>46122</v>
      </c>
      <c r="F480" s="2">
        <v>46152</v>
      </c>
      <c r="G480" t="s">
        <v>585</v>
      </c>
      <c r="H480" t="s">
        <v>571</v>
      </c>
      <c r="I480" t="s">
        <v>79</v>
      </c>
      <c r="J480">
        <v>144</v>
      </c>
      <c r="K480">
        <v>156</v>
      </c>
      <c r="L480">
        <f t="shared" si="44"/>
        <v>12</v>
      </c>
      <c r="M480">
        <v>12</v>
      </c>
      <c r="N480">
        <f>IF(L480&lt;&gt;M480,1,0)</f>
        <v>0</v>
      </c>
      <c r="O480">
        <v>12</v>
      </c>
      <c r="S480">
        <v>3</v>
      </c>
      <c r="T480" s="3">
        <f t="shared" si="46"/>
        <v>15</v>
      </c>
      <c r="U480" s="3" t="str">
        <f t="shared" si="47"/>
        <v>USTED ESTÁ AL DÍA</v>
      </c>
      <c r="V480" s="3" t="s">
        <v>27</v>
      </c>
      <c r="W480">
        <v>50</v>
      </c>
      <c r="Y480">
        <f t="shared" si="48"/>
        <v>65</v>
      </c>
    </row>
    <row r="481" spans="1:25" ht="15.75" hidden="1" customHeight="1" x14ac:dyDescent="0.35">
      <c r="A481" s="3">
        <v>17375</v>
      </c>
      <c r="B481" s="3" t="s">
        <v>23</v>
      </c>
      <c r="C481" s="2">
        <v>46179</v>
      </c>
      <c r="D481" s="2">
        <v>46174</v>
      </c>
      <c r="E481" s="2">
        <v>46122</v>
      </c>
      <c r="F481" s="2">
        <v>46152</v>
      </c>
      <c r="G481" t="s">
        <v>586</v>
      </c>
      <c r="H481" t="s">
        <v>571</v>
      </c>
      <c r="I481" t="s">
        <v>95</v>
      </c>
      <c r="J481">
        <v>1787</v>
      </c>
      <c r="K481">
        <v>1801</v>
      </c>
      <c r="L481">
        <f t="shared" si="44"/>
        <v>14</v>
      </c>
      <c r="M481">
        <v>14</v>
      </c>
      <c r="N481">
        <f>IF(L481&lt;&gt;M481,1,0)</f>
        <v>0</v>
      </c>
      <c r="O481">
        <v>14</v>
      </c>
      <c r="S481">
        <v>3</v>
      </c>
      <c r="T481" s="3">
        <f t="shared" si="46"/>
        <v>17</v>
      </c>
      <c r="U481" s="3" t="str">
        <f t="shared" si="47"/>
        <v>USTED ESTÁ AL DÍA</v>
      </c>
      <c r="V481" s="3" t="s">
        <v>27</v>
      </c>
      <c r="W481">
        <v>50</v>
      </c>
      <c r="Y481">
        <f t="shared" si="48"/>
        <v>67</v>
      </c>
    </row>
    <row r="482" spans="1:25" ht="15.75" hidden="1" customHeight="1" x14ac:dyDescent="0.35">
      <c r="A482" s="3">
        <v>17376</v>
      </c>
      <c r="B482" s="3" t="s">
        <v>23</v>
      </c>
      <c r="C482" s="2">
        <v>46179</v>
      </c>
      <c r="D482" s="2">
        <v>46174</v>
      </c>
      <c r="E482" s="2">
        <v>46122</v>
      </c>
      <c r="F482" s="2">
        <v>46152</v>
      </c>
      <c r="G482" t="s">
        <v>587</v>
      </c>
      <c r="H482" t="s">
        <v>571</v>
      </c>
      <c r="I482" t="s">
        <v>91</v>
      </c>
      <c r="J482">
        <v>431</v>
      </c>
      <c r="K482">
        <v>446</v>
      </c>
      <c r="L482">
        <f t="shared" si="44"/>
        <v>15</v>
      </c>
      <c r="M482">
        <v>15</v>
      </c>
      <c r="N482">
        <f>IF(L482&lt;&gt;M482,1,0)</f>
        <v>0</v>
      </c>
      <c r="O482">
        <v>15</v>
      </c>
      <c r="S482">
        <v>3</v>
      </c>
      <c r="T482" s="3">
        <f t="shared" si="46"/>
        <v>18</v>
      </c>
      <c r="U482" s="3" t="str">
        <f t="shared" si="47"/>
        <v>USTED ESTÁ AL DÍA</v>
      </c>
      <c r="V482" s="3" t="s">
        <v>27</v>
      </c>
      <c r="W482">
        <v>30</v>
      </c>
      <c r="Y482">
        <f t="shared" si="48"/>
        <v>48</v>
      </c>
    </row>
    <row r="483" spans="1:25" ht="15.75" hidden="1" customHeight="1" x14ac:dyDescent="0.35">
      <c r="A483" s="3">
        <v>17377</v>
      </c>
      <c r="B483" s="3" t="s">
        <v>23</v>
      </c>
      <c r="C483" s="2">
        <v>46179</v>
      </c>
      <c r="D483" s="2">
        <v>46174</v>
      </c>
      <c r="E483" s="2">
        <v>46122</v>
      </c>
      <c r="F483" s="2">
        <v>46152</v>
      </c>
      <c r="G483" t="s">
        <v>588</v>
      </c>
      <c r="H483" t="s">
        <v>571</v>
      </c>
      <c r="I483" t="s">
        <v>84</v>
      </c>
      <c r="J483">
        <v>443</v>
      </c>
      <c r="K483">
        <v>449</v>
      </c>
      <c r="L483">
        <f t="shared" si="44"/>
        <v>6</v>
      </c>
      <c r="M483">
        <v>6</v>
      </c>
      <c r="N483">
        <f>IF(L483&lt;&gt;M483,1,0)</f>
        <v>0</v>
      </c>
      <c r="O483">
        <v>6</v>
      </c>
      <c r="S483">
        <v>3</v>
      </c>
      <c r="T483" s="3">
        <f t="shared" si="46"/>
        <v>9</v>
      </c>
      <c r="U483" s="3" t="str">
        <f t="shared" si="47"/>
        <v>USTED ESTÁ AL DÍA</v>
      </c>
      <c r="V483" s="3" t="s">
        <v>27</v>
      </c>
      <c r="Y483">
        <f t="shared" si="48"/>
        <v>9</v>
      </c>
    </row>
    <row r="484" spans="1:25" ht="15.75" hidden="1" customHeight="1" x14ac:dyDescent="0.35">
      <c r="A484" s="3">
        <v>17378</v>
      </c>
      <c r="B484" s="3" t="s">
        <v>23</v>
      </c>
      <c r="C484" s="2">
        <v>46179</v>
      </c>
      <c r="D484" s="2">
        <v>46174</v>
      </c>
      <c r="E484" s="2">
        <v>46122</v>
      </c>
      <c r="F484" s="2">
        <v>46152</v>
      </c>
      <c r="G484" t="s">
        <v>589</v>
      </c>
      <c r="H484" t="s">
        <v>571</v>
      </c>
      <c r="I484" t="s">
        <v>29</v>
      </c>
      <c r="L484">
        <f t="shared" si="44"/>
        <v>0</v>
      </c>
      <c r="S484">
        <v>0</v>
      </c>
      <c r="T484" s="3">
        <f t="shared" si="46"/>
        <v>0</v>
      </c>
      <c r="U484" s="3" t="str">
        <f t="shared" si="47"/>
        <v>USTED ESTÁ AL DÍA</v>
      </c>
      <c r="V484" s="3" t="s">
        <v>27</v>
      </c>
      <c r="W484">
        <v>20</v>
      </c>
      <c r="Y484">
        <f t="shared" si="48"/>
        <v>20</v>
      </c>
    </row>
    <row r="485" spans="1:25" ht="15.75" hidden="1" customHeight="1" x14ac:dyDescent="0.35">
      <c r="A485" s="3">
        <v>17379</v>
      </c>
      <c r="B485" s="3" t="s">
        <v>23</v>
      </c>
      <c r="C485" s="2">
        <v>46179</v>
      </c>
      <c r="D485" s="2">
        <v>46174</v>
      </c>
      <c r="E485" s="2">
        <v>46122</v>
      </c>
      <c r="F485" s="2">
        <v>46152</v>
      </c>
      <c r="G485" t="s">
        <v>590</v>
      </c>
      <c r="H485" t="s">
        <v>571</v>
      </c>
      <c r="I485" t="s">
        <v>66</v>
      </c>
      <c r="L485">
        <f t="shared" si="44"/>
        <v>0</v>
      </c>
      <c r="S485">
        <v>0</v>
      </c>
      <c r="T485" s="3">
        <f t="shared" si="46"/>
        <v>0</v>
      </c>
      <c r="U485" s="3" t="str">
        <f t="shared" si="47"/>
        <v>USTED ESTÁ AL DÍA</v>
      </c>
      <c r="V485" s="3" t="s">
        <v>27</v>
      </c>
      <c r="W485">
        <v>50</v>
      </c>
      <c r="X485">
        <v>75</v>
      </c>
      <c r="Y485">
        <f t="shared" si="48"/>
        <v>125</v>
      </c>
    </row>
    <row r="486" spans="1:25" ht="15.75" hidden="1" customHeight="1" x14ac:dyDescent="0.35">
      <c r="A486" s="3">
        <v>17380</v>
      </c>
      <c r="B486" s="3" t="s">
        <v>23</v>
      </c>
      <c r="C486" s="2">
        <v>46179</v>
      </c>
      <c r="D486" s="2">
        <v>46174</v>
      </c>
      <c r="E486" s="2">
        <v>46122</v>
      </c>
      <c r="F486" s="2">
        <v>46152</v>
      </c>
      <c r="G486" t="s">
        <v>591</v>
      </c>
      <c r="H486" t="s">
        <v>592</v>
      </c>
      <c r="I486" t="s">
        <v>26</v>
      </c>
      <c r="J486">
        <v>2186</v>
      </c>
      <c r="K486">
        <v>2192</v>
      </c>
      <c r="L486">
        <f t="shared" si="44"/>
        <v>6</v>
      </c>
      <c r="M486">
        <v>6</v>
      </c>
      <c r="N486">
        <f>IF(L486&lt;&gt;M486,1,0)</f>
        <v>0</v>
      </c>
      <c r="O486">
        <v>6</v>
      </c>
      <c r="S486">
        <v>3</v>
      </c>
      <c r="T486" s="3">
        <f t="shared" si="46"/>
        <v>9</v>
      </c>
      <c r="U486" s="3" t="str">
        <f t="shared" si="47"/>
        <v>USTED ESTÁ AL DÍA</v>
      </c>
      <c r="V486" s="3" t="s">
        <v>27</v>
      </c>
      <c r="Y486">
        <f t="shared" si="48"/>
        <v>9</v>
      </c>
    </row>
    <row r="487" spans="1:25" ht="15.75" hidden="1" customHeight="1" x14ac:dyDescent="0.35">
      <c r="A487" s="3">
        <v>17381</v>
      </c>
      <c r="B487" s="3" t="s">
        <v>23</v>
      </c>
      <c r="C487" s="2">
        <v>46179</v>
      </c>
      <c r="D487" s="2">
        <v>46174</v>
      </c>
      <c r="E487" s="2">
        <v>46122</v>
      </c>
      <c r="F487" s="2">
        <v>46152</v>
      </c>
      <c r="G487" t="s">
        <v>593</v>
      </c>
      <c r="H487" t="s">
        <v>592</v>
      </c>
      <c r="I487" t="s">
        <v>29</v>
      </c>
      <c r="J487">
        <v>389</v>
      </c>
      <c r="K487">
        <v>393</v>
      </c>
      <c r="L487">
        <f t="shared" si="44"/>
        <v>4</v>
      </c>
      <c r="M487">
        <v>5</v>
      </c>
      <c r="O487">
        <v>5</v>
      </c>
      <c r="S487">
        <v>3</v>
      </c>
      <c r="T487" s="3">
        <f t="shared" si="46"/>
        <v>8</v>
      </c>
      <c r="U487" s="3" t="str">
        <f t="shared" si="47"/>
        <v>USTED ESTÁ AL DÍA</v>
      </c>
      <c r="V487" s="3" t="s">
        <v>27</v>
      </c>
      <c r="Y487">
        <f t="shared" si="48"/>
        <v>8</v>
      </c>
    </row>
    <row r="488" spans="1:25" ht="15.75" hidden="1" customHeight="1" x14ac:dyDescent="0.35">
      <c r="A488" s="3">
        <v>17382</v>
      </c>
      <c r="B488" s="3" t="s">
        <v>23</v>
      </c>
      <c r="C488" s="2">
        <v>46179</v>
      </c>
      <c r="D488" s="2">
        <v>46174</v>
      </c>
      <c r="E488" s="2">
        <v>46122</v>
      </c>
      <c r="F488" s="2">
        <v>46152</v>
      </c>
      <c r="G488" t="s">
        <v>594</v>
      </c>
      <c r="H488" t="s">
        <v>592</v>
      </c>
      <c r="I488" t="s">
        <v>31</v>
      </c>
      <c r="J488">
        <v>1042</v>
      </c>
      <c r="K488">
        <v>1048</v>
      </c>
      <c r="L488">
        <f t="shared" si="44"/>
        <v>6</v>
      </c>
      <c r="M488">
        <v>6</v>
      </c>
      <c r="N488">
        <f>IF(L488&lt;&gt;M488,1,0)</f>
        <v>0</v>
      </c>
      <c r="O488">
        <v>6</v>
      </c>
      <c r="S488">
        <v>3</v>
      </c>
      <c r="T488" s="3">
        <f t="shared" si="46"/>
        <v>9</v>
      </c>
      <c r="U488" s="3" t="str">
        <f t="shared" si="47"/>
        <v>USTED ESTÁ AL DÍA</v>
      </c>
      <c r="V488" s="3" t="s">
        <v>27</v>
      </c>
      <c r="W488">
        <v>50</v>
      </c>
      <c r="X488">
        <v>50</v>
      </c>
      <c r="Y488">
        <f t="shared" si="48"/>
        <v>109</v>
      </c>
    </row>
    <row r="489" spans="1:25" ht="15.75" hidden="1" customHeight="1" x14ac:dyDescent="0.35">
      <c r="A489" s="3">
        <v>17383</v>
      </c>
      <c r="B489" s="3" t="s">
        <v>23</v>
      </c>
      <c r="C489" s="2">
        <v>46179</v>
      </c>
      <c r="D489" s="2">
        <v>46174</v>
      </c>
      <c r="E489" s="2">
        <v>46122</v>
      </c>
      <c r="F489" s="2">
        <v>46152</v>
      </c>
      <c r="G489" t="s">
        <v>255</v>
      </c>
      <c r="H489" t="s">
        <v>592</v>
      </c>
      <c r="I489" t="s">
        <v>33</v>
      </c>
      <c r="J489">
        <v>7</v>
      </c>
      <c r="K489">
        <v>7</v>
      </c>
      <c r="L489">
        <f t="shared" si="44"/>
        <v>0</v>
      </c>
      <c r="M489">
        <v>5</v>
      </c>
      <c r="O489">
        <v>5</v>
      </c>
      <c r="S489">
        <v>3</v>
      </c>
      <c r="T489" s="3">
        <f t="shared" si="46"/>
        <v>8</v>
      </c>
      <c r="U489" s="3" t="str">
        <f t="shared" si="47"/>
        <v>USTED ESTÁ AL DÍA</v>
      </c>
      <c r="V489" s="3" t="s">
        <v>27</v>
      </c>
      <c r="Y489">
        <f t="shared" si="48"/>
        <v>8</v>
      </c>
    </row>
    <row r="490" spans="1:25" ht="15.75" hidden="1" customHeight="1" x14ac:dyDescent="0.35">
      <c r="A490" s="3">
        <v>17384</v>
      </c>
      <c r="B490" s="3" t="s">
        <v>23</v>
      </c>
      <c r="C490" s="2">
        <v>46179</v>
      </c>
      <c r="D490" s="2">
        <v>46174</v>
      </c>
      <c r="E490" s="2">
        <v>46122</v>
      </c>
      <c r="F490" s="2">
        <v>46152</v>
      </c>
      <c r="G490" t="s">
        <v>595</v>
      </c>
      <c r="H490" t="s">
        <v>592</v>
      </c>
      <c r="I490" t="s">
        <v>35</v>
      </c>
      <c r="J490">
        <v>7199</v>
      </c>
      <c r="K490">
        <v>7201</v>
      </c>
      <c r="L490">
        <f t="shared" si="44"/>
        <v>2</v>
      </c>
      <c r="M490">
        <v>5</v>
      </c>
      <c r="O490">
        <v>5</v>
      </c>
      <c r="S490">
        <v>3</v>
      </c>
      <c r="T490" s="3">
        <f t="shared" si="46"/>
        <v>8</v>
      </c>
      <c r="U490" s="3" t="str">
        <f t="shared" si="47"/>
        <v>USTED ESTÁ AL DÍA</v>
      </c>
      <c r="V490" s="3" t="s">
        <v>27</v>
      </c>
      <c r="X490">
        <v>50</v>
      </c>
      <c r="Y490">
        <f t="shared" si="48"/>
        <v>58</v>
      </c>
    </row>
    <row r="491" spans="1:25" ht="15.75" hidden="1" customHeight="1" x14ac:dyDescent="0.35">
      <c r="A491" s="3">
        <v>17385</v>
      </c>
      <c r="B491" s="3" t="s">
        <v>23</v>
      </c>
      <c r="C491" s="2">
        <v>46179</v>
      </c>
      <c r="D491" s="2">
        <v>46174</v>
      </c>
      <c r="E491" s="2">
        <v>46122</v>
      </c>
      <c r="F491" s="2">
        <v>46152</v>
      </c>
      <c r="G491" t="s">
        <v>596</v>
      </c>
      <c r="H491" t="s">
        <v>592</v>
      </c>
      <c r="I491" t="s">
        <v>37</v>
      </c>
      <c r="J491">
        <v>1548</v>
      </c>
      <c r="K491">
        <v>1555</v>
      </c>
      <c r="L491">
        <f t="shared" si="44"/>
        <v>7</v>
      </c>
      <c r="M491">
        <v>7</v>
      </c>
      <c r="N491">
        <f>IF(L491&lt;&gt;M491,1,0)</f>
        <v>0</v>
      </c>
      <c r="O491">
        <v>7</v>
      </c>
      <c r="S491">
        <v>3</v>
      </c>
      <c r="T491" s="3">
        <f t="shared" si="46"/>
        <v>10</v>
      </c>
      <c r="U491" s="3" t="str">
        <f t="shared" si="47"/>
        <v>USTED ESTÁ AL DÍA</v>
      </c>
      <c r="V491" s="3" t="s">
        <v>27</v>
      </c>
      <c r="W491">
        <v>30</v>
      </c>
      <c r="Y491">
        <f t="shared" si="48"/>
        <v>40</v>
      </c>
    </row>
    <row r="492" spans="1:25" ht="15.75" hidden="1" customHeight="1" x14ac:dyDescent="0.35">
      <c r="A492" s="3">
        <v>17386</v>
      </c>
      <c r="B492" s="3" t="s">
        <v>23</v>
      </c>
      <c r="C492" s="2">
        <v>46179</v>
      </c>
      <c r="D492" s="2">
        <v>46174</v>
      </c>
      <c r="E492" s="2">
        <v>46122</v>
      </c>
      <c r="F492" s="2">
        <v>46152</v>
      </c>
      <c r="G492" t="s">
        <v>597</v>
      </c>
      <c r="H492" t="s">
        <v>598</v>
      </c>
      <c r="I492" t="s">
        <v>33</v>
      </c>
      <c r="J492">
        <v>292</v>
      </c>
      <c r="K492">
        <v>295</v>
      </c>
      <c r="L492">
        <f t="shared" si="44"/>
        <v>3</v>
      </c>
      <c r="M492">
        <v>5</v>
      </c>
      <c r="O492">
        <v>5</v>
      </c>
      <c r="P492">
        <v>16</v>
      </c>
      <c r="S492">
        <v>3</v>
      </c>
      <c r="T492" s="3">
        <f t="shared" si="46"/>
        <v>24</v>
      </c>
      <c r="U492" s="3" t="str">
        <f t="shared" si="47"/>
        <v>USTED NO ESTÁ AL DÍA</v>
      </c>
      <c r="V492" s="3" t="s">
        <v>27</v>
      </c>
      <c r="W492">
        <v>50</v>
      </c>
      <c r="X492">
        <v>75</v>
      </c>
      <c r="Y492">
        <f t="shared" si="48"/>
        <v>149</v>
      </c>
    </row>
    <row r="493" spans="1:25" ht="15.75" hidden="1" customHeight="1" x14ac:dyDescent="0.35">
      <c r="A493" s="3">
        <v>17387</v>
      </c>
      <c r="B493" s="3" t="s">
        <v>23</v>
      </c>
      <c r="C493" s="2">
        <v>46179</v>
      </c>
      <c r="D493" s="2">
        <v>46174</v>
      </c>
      <c r="E493" s="2">
        <v>46122</v>
      </c>
      <c r="F493" s="2">
        <v>46152</v>
      </c>
      <c r="G493" t="s">
        <v>599</v>
      </c>
      <c r="H493" t="s">
        <v>598</v>
      </c>
      <c r="I493" t="s">
        <v>45</v>
      </c>
      <c r="J493">
        <v>2488</v>
      </c>
      <c r="K493">
        <v>2502</v>
      </c>
      <c r="L493">
        <f t="shared" si="44"/>
        <v>14</v>
      </c>
      <c r="M493">
        <v>14</v>
      </c>
      <c r="N493">
        <f>IF(L493&lt;&gt;M493,1,0)</f>
        <v>0</v>
      </c>
      <c r="O493">
        <v>14</v>
      </c>
      <c r="P493">
        <v>22</v>
      </c>
      <c r="S493">
        <v>3</v>
      </c>
      <c r="T493" s="3">
        <f t="shared" si="46"/>
        <v>39</v>
      </c>
      <c r="U493" s="3" t="str">
        <f t="shared" si="47"/>
        <v>USTED NO ESTÁ AL DÍA</v>
      </c>
      <c r="V493" s="3" t="s">
        <v>27</v>
      </c>
      <c r="X493">
        <v>50</v>
      </c>
      <c r="Y493">
        <f t="shared" si="48"/>
        <v>89</v>
      </c>
    </row>
    <row r="494" spans="1:25" ht="15.75" hidden="1" customHeight="1" x14ac:dyDescent="0.35">
      <c r="A494" s="3">
        <v>17388</v>
      </c>
      <c r="B494" s="3" t="s">
        <v>23</v>
      </c>
      <c r="C494" s="2">
        <v>46179</v>
      </c>
      <c r="D494" s="2">
        <v>46174</v>
      </c>
      <c r="E494" s="2">
        <v>46122</v>
      </c>
      <c r="F494" s="2">
        <v>46152</v>
      </c>
      <c r="G494" t="s">
        <v>600</v>
      </c>
      <c r="H494" t="s">
        <v>598</v>
      </c>
      <c r="I494" t="s">
        <v>97</v>
      </c>
      <c r="J494">
        <v>224</v>
      </c>
      <c r="K494">
        <v>224</v>
      </c>
      <c r="L494">
        <f t="shared" si="44"/>
        <v>0</v>
      </c>
      <c r="M494">
        <v>5</v>
      </c>
      <c r="O494">
        <v>5</v>
      </c>
      <c r="P494">
        <v>8</v>
      </c>
      <c r="S494">
        <v>3</v>
      </c>
      <c r="T494" s="3">
        <f t="shared" si="46"/>
        <v>16</v>
      </c>
      <c r="U494" s="3" t="str">
        <f t="shared" si="47"/>
        <v>USTED NO ESTÁ AL DÍA</v>
      </c>
      <c r="V494" s="3" t="s">
        <v>27</v>
      </c>
      <c r="W494">
        <v>20</v>
      </c>
      <c r="Y494">
        <f t="shared" si="48"/>
        <v>36</v>
      </c>
    </row>
    <row r="495" spans="1:25" ht="15.75" hidden="1" customHeight="1" x14ac:dyDescent="0.35">
      <c r="A495" s="3">
        <v>17389</v>
      </c>
      <c r="B495" s="3" t="s">
        <v>23</v>
      </c>
      <c r="C495" s="2">
        <v>46179</v>
      </c>
      <c r="D495" s="2">
        <v>46174</v>
      </c>
      <c r="E495" s="2">
        <v>46122</v>
      </c>
      <c r="F495" s="2">
        <v>46152</v>
      </c>
      <c r="G495" t="s">
        <v>601</v>
      </c>
      <c r="H495" t="s">
        <v>598</v>
      </c>
      <c r="I495" t="s">
        <v>26</v>
      </c>
      <c r="J495">
        <v>1149</v>
      </c>
      <c r="K495">
        <v>1157</v>
      </c>
      <c r="L495">
        <f t="shared" si="44"/>
        <v>8</v>
      </c>
      <c r="M495">
        <v>8</v>
      </c>
      <c r="N495">
        <f>IF(L495&lt;&gt;M495,1,0)</f>
        <v>0</v>
      </c>
      <c r="O495">
        <v>8</v>
      </c>
      <c r="S495">
        <v>3</v>
      </c>
      <c r="T495" s="3">
        <f t="shared" si="46"/>
        <v>11</v>
      </c>
      <c r="U495" s="3" t="str">
        <f t="shared" si="47"/>
        <v>USTED ESTÁ AL DÍA</v>
      </c>
      <c r="V495" s="3" t="s">
        <v>27</v>
      </c>
      <c r="Y495">
        <f t="shared" si="48"/>
        <v>11</v>
      </c>
    </row>
    <row r="496" spans="1:25" ht="15.75" hidden="1" customHeight="1" x14ac:dyDescent="0.35">
      <c r="A496" s="3">
        <v>17390</v>
      </c>
      <c r="B496" s="3" t="s">
        <v>23</v>
      </c>
      <c r="C496" s="2">
        <v>46179</v>
      </c>
      <c r="D496" s="2">
        <v>46174</v>
      </c>
      <c r="E496" s="2">
        <v>46122</v>
      </c>
      <c r="F496" s="2">
        <v>46152</v>
      </c>
      <c r="G496" t="s">
        <v>602</v>
      </c>
      <c r="H496" t="s">
        <v>598</v>
      </c>
      <c r="I496" t="s">
        <v>29</v>
      </c>
      <c r="J496">
        <v>33</v>
      </c>
      <c r="K496">
        <v>33</v>
      </c>
      <c r="L496">
        <f t="shared" si="44"/>
        <v>0</v>
      </c>
      <c r="M496">
        <v>5</v>
      </c>
      <c r="O496">
        <v>5</v>
      </c>
      <c r="P496">
        <v>8</v>
      </c>
      <c r="S496">
        <v>3</v>
      </c>
      <c r="T496" s="3">
        <f t="shared" si="46"/>
        <v>16</v>
      </c>
      <c r="U496" s="3" t="str">
        <f t="shared" si="47"/>
        <v>USTED NO ESTÁ AL DÍA</v>
      </c>
      <c r="V496" s="3" t="s">
        <v>27</v>
      </c>
      <c r="Y496">
        <f t="shared" si="48"/>
        <v>16</v>
      </c>
    </row>
    <row r="497" spans="1:25" ht="15.75" hidden="1" customHeight="1" x14ac:dyDescent="0.35">
      <c r="A497" s="3">
        <v>17391</v>
      </c>
      <c r="B497" s="3" t="s">
        <v>23</v>
      </c>
      <c r="C497" s="2">
        <v>46179</v>
      </c>
      <c r="D497" s="2">
        <v>46174</v>
      </c>
      <c r="E497" s="2">
        <v>46122</v>
      </c>
      <c r="F497" s="2">
        <v>46152</v>
      </c>
      <c r="G497" t="s">
        <v>603</v>
      </c>
      <c r="H497" t="s">
        <v>598</v>
      </c>
      <c r="I497" t="s">
        <v>31</v>
      </c>
      <c r="J497">
        <v>23</v>
      </c>
      <c r="K497">
        <v>23</v>
      </c>
      <c r="L497">
        <f t="shared" si="44"/>
        <v>0</v>
      </c>
      <c r="M497">
        <v>5</v>
      </c>
      <c r="O497">
        <v>5</v>
      </c>
      <c r="S497">
        <v>3</v>
      </c>
      <c r="T497" s="3">
        <f t="shared" si="46"/>
        <v>8</v>
      </c>
      <c r="U497" s="3" t="str">
        <f t="shared" si="47"/>
        <v>USTED ESTÁ AL DÍA</v>
      </c>
      <c r="V497" s="3" t="s">
        <v>27</v>
      </c>
      <c r="Y497">
        <f t="shared" si="48"/>
        <v>8</v>
      </c>
    </row>
    <row r="498" spans="1:25" ht="15.75" hidden="1" customHeight="1" x14ac:dyDescent="0.35">
      <c r="A498" s="3">
        <v>17392</v>
      </c>
      <c r="B498" s="3" t="s">
        <v>23</v>
      </c>
      <c r="C498" s="2">
        <v>46179</v>
      </c>
      <c r="D498" s="2">
        <v>46174</v>
      </c>
      <c r="E498" s="2">
        <v>46122</v>
      </c>
      <c r="F498" s="2">
        <v>46152</v>
      </c>
      <c r="G498" t="s">
        <v>604</v>
      </c>
      <c r="H498" t="s">
        <v>598</v>
      </c>
      <c r="I498" t="s">
        <v>35</v>
      </c>
      <c r="J498">
        <v>1079</v>
      </c>
      <c r="K498">
        <v>1095</v>
      </c>
      <c r="L498">
        <f t="shared" si="44"/>
        <v>16</v>
      </c>
      <c r="M498">
        <v>16</v>
      </c>
      <c r="N498">
        <f>IF(L498&lt;&gt;M498,1,0)</f>
        <v>0</v>
      </c>
      <c r="O498">
        <v>16</v>
      </c>
      <c r="S498">
        <v>3</v>
      </c>
      <c r="T498" s="3">
        <f t="shared" si="46"/>
        <v>19</v>
      </c>
      <c r="U498" s="3" t="str">
        <f t="shared" si="47"/>
        <v>USTED ESTÁ AL DÍA</v>
      </c>
      <c r="V498" s="3" t="s">
        <v>27</v>
      </c>
      <c r="X498">
        <v>50</v>
      </c>
      <c r="Y498">
        <f t="shared" si="48"/>
        <v>69</v>
      </c>
    </row>
    <row r="499" spans="1:25" ht="15.75" hidden="1" customHeight="1" x14ac:dyDescent="0.35">
      <c r="A499" s="3">
        <v>17393</v>
      </c>
      <c r="B499" s="3" t="s">
        <v>23</v>
      </c>
      <c r="C499" s="2">
        <v>46179</v>
      </c>
      <c r="D499" s="2">
        <v>46174</v>
      </c>
      <c r="E499" s="2">
        <v>46122</v>
      </c>
      <c r="F499" s="2">
        <v>46152</v>
      </c>
      <c r="G499" t="s">
        <v>605</v>
      </c>
      <c r="H499" t="s">
        <v>598</v>
      </c>
      <c r="I499" t="s">
        <v>37</v>
      </c>
      <c r="J499">
        <v>2073</v>
      </c>
      <c r="K499">
        <v>2084</v>
      </c>
      <c r="L499">
        <f t="shared" si="44"/>
        <v>11</v>
      </c>
      <c r="M499">
        <v>11</v>
      </c>
      <c r="N499">
        <f>IF(L499&lt;&gt;M499,1,0)</f>
        <v>0</v>
      </c>
      <c r="O499">
        <v>11</v>
      </c>
      <c r="S499">
        <v>3</v>
      </c>
      <c r="T499" s="3">
        <f t="shared" si="46"/>
        <v>14</v>
      </c>
      <c r="U499" s="3" t="str">
        <f t="shared" si="47"/>
        <v>USTED ESTÁ AL DÍA</v>
      </c>
      <c r="V499" s="3" t="s">
        <v>27</v>
      </c>
      <c r="W499">
        <v>30</v>
      </c>
      <c r="Y499">
        <f t="shared" si="48"/>
        <v>44</v>
      </c>
    </row>
    <row r="500" spans="1:25" ht="15.75" hidden="1" customHeight="1" x14ac:dyDescent="0.35">
      <c r="A500" s="3">
        <v>17394</v>
      </c>
      <c r="B500" s="3" t="s">
        <v>23</v>
      </c>
      <c r="C500" s="2">
        <v>46179</v>
      </c>
      <c r="D500" s="2">
        <v>46174</v>
      </c>
      <c r="E500" s="2">
        <v>46122</v>
      </c>
      <c r="F500" s="2">
        <v>46152</v>
      </c>
      <c r="G500" t="s">
        <v>606</v>
      </c>
      <c r="H500" t="s">
        <v>598</v>
      </c>
      <c r="I500" t="s">
        <v>39</v>
      </c>
      <c r="J500">
        <v>1081</v>
      </c>
      <c r="K500">
        <v>1085</v>
      </c>
      <c r="L500">
        <f t="shared" si="44"/>
        <v>4</v>
      </c>
      <c r="M500">
        <v>5</v>
      </c>
      <c r="O500">
        <v>5</v>
      </c>
      <c r="S500">
        <v>3</v>
      </c>
      <c r="T500" s="3">
        <f t="shared" si="46"/>
        <v>8</v>
      </c>
      <c r="U500" s="3" t="str">
        <f t="shared" si="47"/>
        <v>USTED ESTÁ AL DÍA</v>
      </c>
      <c r="V500" s="3" t="s">
        <v>27</v>
      </c>
      <c r="W500">
        <v>20</v>
      </c>
      <c r="Y500">
        <f t="shared" si="48"/>
        <v>28</v>
      </c>
    </row>
    <row r="501" spans="1:25" ht="15.75" hidden="1" customHeight="1" x14ac:dyDescent="0.35">
      <c r="A501" s="3">
        <v>17395</v>
      </c>
      <c r="B501" s="3" t="s">
        <v>23</v>
      </c>
      <c r="C501" s="2">
        <v>46179</v>
      </c>
      <c r="D501" s="2">
        <v>46174</v>
      </c>
      <c r="E501" s="2">
        <v>46122</v>
      </c>
      <c r="F501" s="2">
        <v>46152</v>
      </c>
      <c r="G501" t="s">
        <v>607</v>
      </c>
      <c r="H501" t="s">
        <v>598</v>
      </c>
      <c r="I501" t="s">
        <v>41</v>
      </c>
      <c r="J501">
        <v>555</v>
      </c>
      <c r="K501">
        <v>557</v>
      </c>
      <c r="L501">
        <f t="shared" si="44"/>
        <v>2</v>
      </c>
      <c r="M501">
        <v>5</v>
      </c>
      <c r="O501">
        <v>5</v>
      </c>
      <c r="S501">
        <v>3</v>
      </c>
      <c r="T501" s="3">
        <f t="shared" si="46"/>
        <v>8</v>
      </c>
      <c r="U501" s="3" t="str">
        <f t="shared" si="47"/>
        <v>USTED ESTÁ AL DÍA</v>
      </c>
      <c r="V501" s="3" t="s">
        <v>27</v>
      </c>
      <c r="W501">
        <v>30</v>
      </c>
      <c r="X501">
        <v>75</v>
      </c>
      <c r="Y501">
        <f t="shared" si="48"/>
        <v>113</v>
      </c>
    </row>
    <row r="502" spans="1:25" ht="15.75" hidden="1" customHeight="1" x14ac:dyDescent="0.35">
      <c r="A502" s="3">
        <v>17396</v>
      </c>
      <c r="B502" s="3" t="s">
        <v>23</v>
      </c>
      <c r="C502" s="2">
        <v>46179</v>
      </c>
      <c r="D502" s="2">
        <v>46174</v>
      </c>
      <c r="E502" s="2">
        <v>46122</v>
      </c>
      <c r="F502" s="2">
        <v>46152</v>
      </c>
      <c r="G502" t="s">
        <v>608</v>
      </c>
      <c r="H502" t="s">
        <v>598</v>
      </c>
      <c r="I502" t="s">
        <v>43</v>
      </c>
      <c r="J502">
        <v>989</v>
      </c>
      <c r="K502">
        <v>997</v>
      </c>
      <c r="L502">
        <f t="shared" si="44"/>
        <v>8</v>
      </c>
      <c r="M502">
        <v>8</v>
      </c>
      <c r="N502">
        <f t="shared" ref="N502:N507" si="49">IF(L502&lt;&gt;M502,1,0)</f>
        <v>0</v>
      </c>
      <c r="O502">
        <v>8</v>
      </c>
      <c r="S502">
        <v>3</v>
      </c>
      <c r="T502" s="3">
        <f t="shared" si="46"/>
        <v>11</v>
      </c>
      <c r="U502" s="3" t="str">
        <f t="shared" si="47"/>
        <v>USTED ESTÁ AL DÍA</v>
      </c>
      <c r="V502" s="3" t="s">
        <v>27</v>
      </c>
      <c r="W502">
        <v>50</v>
      </c>
      <c r="Y502">
        <f t="shared" si="48"/>
        <v>61</v>
      </c>
    </row>
    <row r="503" spans="1:25" ht="15.75" hidden="1" customHeight="1" x14ac:dyDescent="0.35">
      <c r="A503" s="3">
        <v>17397</v>
      </c>
      <c r="B503" s="3" t="s">
        <v>23</v>
      </c>
      <c r="C503" s="2">
        <v>46179</v>
      </c>
      <c r="D503" s="2">
        <v>46174</v>
      </c>
      <c r="E503" s="2">
        <v>46122</v>
      </c>
      <c r="F503" s="2">
        <v>46152</v>
      </c>
      <c r="G503" t="s">
        <v>609</v>
      </c>
      <c r="H503" t="s">
        <v>598</v>
      </c>
      <c r="I503" t="s">
        <v>47</v>
      </c>
      <c r="J503">
        <v>1510</v>
      </c>
      <c r="K503">
        <v>1521</v>
      </c>
      <c r="L503">
        <f t="shared" si="44"/>
        <v>11</v>
      </c>
      <c r="M503">
        <v>11</v>
      </c>
      <c r="N503">
        <f t="shared" si="49"/>
        <v>0</v>
      </c>
      <c r="O503">
        <v>11</v>
      </c>
      <c r="S503">
        <v>3</v>
      </c>
      <c r="T503" s="3">
        <f t="shared" si="46"/>
        <v>14</v>
      </c>
      <c r="U503" s="3" t="str">
        <f t="shared" si="47"/>
        <v>USTED ESTÁ AL DÍA</v>
      </c>
      <c r="V503" s="3" t="s">
        <v>27</v>
      </c>
      <c r="Y503">
        <f t="shared" si="48"/>
        <v>14</v>
      </c>
    </row>
    <row r="504" spans="1:25" ht="15.75" hidden="1" customHeight="1" x14ac:dyDescent="0.35">
      <c r="A504" s="3">
        <v>17398</v>
      </c>
      <c r="B504" s="3" t="s">
        <v>23</v>
      </c>
      <c r="C504" s="2">
        <v>46179</v>
      </c>
      <c r="D504" s="2">
        <v>46174</v>
      </c>
      <c r="E504" s="2">
        <v>46122</v>
      </c>
      <c r="F504" s="2">
        <v>46152</v>
      </c>
      <c r="G504" t="s">
        <v>610</v>
      </c>
      <c r="H504" t="s">
        <v>598</v>
      </c>
      <c r="I504" t="s">
        <v>66</v>
      </c>
      <c r="J504">
        <v>2461</v>
      </c>
      <c r="K504">
        <v>2479</v>
      </c>
      <c r="L504">
        <f t="shared" si="44"/>
        <v>18</v>
      </c>
      <c r="M504">
        <v>18</v>
      </c>
      <c r="N504">
        <f t="shared" si="49"/>
        <v>0</v>
      </c>
      <c r="O504">
        <v>18</v>
      </c>
      <c r="S504">
        <v>3</v>
      </c>
      <c r="T504" s="3">
        <f t="shared" si="46"/>
        <v>21</v>
      </c>
      <c r="U504" s="3" t="str">
        <f t="shared" si="47"/>
        <v>USTED ESTÁ AL DÍA</v>
      </c>
      <c r="V504" s="3" t="s">
        <v>27</v>
      </c>
      <c r="W504">
        <v>20</v>
      </c>
      <c r="Y504">
        <f t="shared" si="48"/>
        <v>41</v>
      </c>
    </row>
    <row r="505" spans="1:25" ht="15.75" hidden="1" customHeight="1" x14ac:dyDescent="0.35">
      <c r="A505" s="3">
        <v>17399</v>
      </c>
      <c r="B505" s="3" t="s">
        <v>23</v>
      </c>
      <c r="C505" s="2">
        <v>46179</v>
      </c>
      <c r="D505" s="2">
        <v>46174</v>
      </c>
      <c r="E505" s="2">
        <v>46122</v>
      </c>
      <c r="F505" s="2">
        <v>46152</v>
      </c>
      <c r="G505" t="s">
        <v>611</v>
      </c>
      <c r="H505" t="s">
        <v>598</v>
      </c>
      <c r="I505" t="s">
        <v>68</v>
      </c>
      <c r="J505">
        <v>111</v>
      </c>
      <c r="K505">
        <v>121</v>
      </c>
      <c r="L505">
        <f t="shared" si="44"/>
        <v>10</v>
      </c>
      <c r="M505">
        <v>10</v>
      </c>
      <c r="N505">
        <f t="shared" si="49"/>
        <v>0</v>
      </c>
      <c r="O505">
        <v>10</v>
      </c>
      <c r="S505">
        <v>3</v>
      </c>
      <c r="T505" s="3">
        <f t="shared" si="46"/>
        <v>13</v>
      </c>
      <c r="U505" s="3" t="str">
        <f t="shared" si="47"/>
        <v>USTED ESTÁ AL DÍA</v>
      </c>
      <c r="V505" s="3" t="s">
        <v>27</v>
      </c>
      <c r="Y505">
        <f t="shared" si="48"/>
        <v>13</v>
      </c>
    </row>
    <row r="506" spans="1:25" ht="15.75" hidden="1" customHeight="1" x14ac:dyDescent="0.35">
      <c r="A506" s="3">
        <v>17400</v>
      </c>
      <c r="B506" s="3" t="s">
        <v>23</v>
      </c>
      <c r="C506" s="2">
        <v>46179</v>
      </c>
      <c r="D506" s="2">
        <v>46174</v>
      </c>
      <c r="E506" s="2">
        <v>46122</v>
      </c>
      <c r="F506" s="2">
        <v>46152</v>
      </c>
      <c r="G506" t="s">
        <v>612</v>
      </c>
      <c r="H506" t="s">
        <v>598</v>
      </c>
      <c r="I506" t="s">
        <v>101</v>
      </c>
      <c r="J506">
        <v>994</v>
      </c>
      <c r="K506">
        <v>1001</v>
      </c>
      <c r="L506">
        <f t="shared" si="44"/>
        <v>7</v>
      </c>
      <c r="M506">
        <v>7</v>
      </c>
      <c r="N506">
        <f t="shared" si="49"/>
        <v>0</v>
      </c>
      <c r="O506">
        <v>7</v>
      </c>
      <c r="S506">
        <v>3</v>
      </c>
      <c r="T506" s="3">
        <f t="shared" si="46"/>
        <v>10</v>
      </c>
      <c r="U506" s="3" t="str">
        <f t="shared" si="47"/>
        <v>USTED ESTÁ AL DÍA</v>
      </c>
      <c r="V506" s="3" t="s">
        <v>27</v>
      </c>
      <c r="X506">
        <v>50</v>
      </c>
      <c r="Y506">
        <f t="shared" si="48"/>
        <v>60</v>
      </c>
    </row>
    <row r="507" spans="1:25" ht="15.75" hidden="1" customHeight="1" x14ac:dyDescent="0.35">
      <c r="A507" s="3">
        <v>17401</v>
      </c>
      <c r="B507" s="3" t="s">
        <v>23</v>
      </c>
      <c r="C507" s="2">
        <v>46179</v>
      </c>
      <c r="D507" s="2">
        <v>46174</v>
      </c>
      <c r="E507" s="2">
        <v>46122</v>
      </c>
      <c r="F507" s="2">
        <v>46152</v>
      </c>
      <c r="G507" t="s">
        <v>613</v>
      </c>
      <c r="H507" t="s">
        <v>598</v>
      </c>
      <c r="I507" t="s">
        <v>79</v>
      </c>
      <c r="J507">
        <v>106</v>
      </c>
      <c r="K507">
        <v>113</v>
      </c>
      <c r="L507">
        <f t="shared" si="44"/>
        <v>7</v>
      </c>
      <c r="M507">
        <v>7</v>
      </c>
      <c r="N507">
        <f t="shared" si="49"/>
        <v>0</v>
      </c>
      <c r="O507">
        <v>7</v>
      </c>
      <c r="S507">
        <v>3</v>
      </c>
      <c r="T507" s="3">
        <f t="shared" si="46"/>
        <v>10</v>
      </c>
      <c r="U507" s="3" t="str">
        <f t="shared" si="47"/>
        <v>USTED ESTÁ AL DÍA</v>
      </c>
      <c r="V507" s="3" t="s">
        <v>27</v>
      </c>
      <c r="Y507">
        <f t="shared" si="48"/>
        <v>10</v>
      </c>
    </row>
    <row r="508" spans="1:25" ht="16" hidden="1" customHeight="1" x14ac:dyDescent="0.35">
      <c r="A508" s="3">
        <v>17402</v>
      </c>
      <c r="B508" s="3" t="s">
        <v>23</v>
      </c>
      <c r="C508" s="2">
        <v>46179</v>
      </c>
      <c r="D508" s="2">
        <v>46174</v>
      </c>
      <c r="E508" s="2">
        <v>46122</v>
      </c>
      <c r="F508" s="2">
        <v>46152</v>
      </c>
      <c r="G508" t="s">
        <v>614</v>
      </c>
      <c r="H508" t="s">
        <v>615</v>
      </c>
      <c r="I508" t="s">
        <v>26</v>
      </c>
      <c r="J508">
        <v>29</v>
      </c>
      <c r="K508">
        <v>29</v>
      </c>
      <c r="L508">
        <f t="shared" si="44"/>
        <v>0</v>
      </c>
      <c r="M508">
        <v>5</v>
      </c>
      <c r="O508">
        <v>5</v>
      </c>
      <c r="P508">
        <v>22</v>
      </c>
      <c r="S508">
        <v>3</v>
      </c>
      <c r="T508" s="3">
        <f t="shared" si="46"/>
        <v>30</v>
      </c>
      <c r="U508" s="3" t="str">
        <f t="shared" si="47"/>
        <v>USTED NO ESTÁ AL DÍA</v>
      </c>
      <c r="V508" s="3" t="s">
        <v>27</v>
      </c>
      <c r="W508">
        <v>50</v>
      </c>
      <c r="Y508">
        <f t="shared" si="48"/>
        <v>80</v>
      </c>
    </row>
    <row r="509" spans="1:25" ht="15.75" hidden="1" customHeight="1" x14ac:dyDescent="0.35">
      <c r="A509" s="3">
        <v>17403</v>
      </c>
      <c r="B509" s="3" t="s">
        <v>23</v>
      </c>
      <c r="C509" s="2">
        <v>46179</v>
      </c>
      <c r="D509" s="2">
        <v>46174</v>
      </c>
      <c r="E509" s="2">
        <v>46122</v>
      </c>
      <c r="F509" s="2">
        <v>46152</v>
      </c>
      <c r="G509" t="s">
        <v>616</v>
      </c>
      <c r="H509" t="s">
        <v>615</v>
      </c>
      <c r="I509" t="s">
        <v>29</v>
      </c>
      <c r="J509">
        <v>4</v>
      </c>
      <c r="K509">
        <v>5</v>
      </c>
      <c r="L509">
        <f t="shared" si="44"/>
        <v>1</v>
      </c>
      <c r="M509">
        <v>5</v>
      </c>
      <c r="O509">
        <v>5</v>
      </c>
      <c r="R509">
        <v>50</v>
      </c>
      <c r="S509">
        <v>3</v>
      </c>
      <c r="T509" s="3">
        <f t="shared" si="46"/>
        <v>58</v>
      </c>
      <c r="U509" s="3" t="str">
        <f t="shared" si="47"/>
        <v>USTED ESTÁ AL DÍA</v>
      </c>
      <c r="V509" s="3" t="s">
        <v>27</v>
      </c>
      <c r="W509">
        <v>50</v>
      </c>
      <c r="Y509">
        <f t="shared" si="48"/>
        <v>108</v>
      </c>
    </row>
    <row r="510" spans="1:25" ht="15.75" hidden="1" customHeight="1" x14ac:dyDescent="0.35">
      <c r="A510" s="3">
        <v>17404</v>
      </c>
      <c r="B510" s="3" t="s">
        <v>23</v>
      </c>
      <c r="C510" s="2">
        <v>46179</v>
      </c>
      <c r="D510" s="2">
        <v>46174</v>
      </c>
      <c r="E510" s="2">
        <v>46122</v>
      </c>
      <c r="F510" s="2">
        <v>46152</v>
      </c>
      <c r="G510" t="s">
        <v>617</v>
      </c>
      <c r="H510" t="s">
        <v>615</v>
      </c>
      <c r="I510" t="s">
        <v>31</v>
      </c>
      <c r="J510">
        <v>18</v>
      </c>
      <c r="K510">
        <v>26</v>
      </c>
      <c r="L510">
        <f t="shared" si="44"/>
        <v>8</v>
      </c>
      <c r="M510">
        <v>8</v>
      </c>
      <c r="N510">
        <f>IF(L510&lt;&gt;M510,1,0)</f>
        <v>0</v>
      </c>
      <c r="O510">
        <v>8</v>
      </c>
      <c r="R510">
        <v>25</v>
      </c>
      <c r="S510">
        <v>3</v>
      </c>
      <c r="T510" s="3">
        <f t="shared" si="46"/>
        <v>36</v>
      </c>
      <c r="U510" s="3" t="str">
        <f t="shared" si="47"/>
        <v>USTED ESTÁ AL DÍA</v>
      </c>
      <c r="V510" s="3" t="s">
        <v>27</v>
      </c>
      <c r="Y510">
        <f t="shared" si="48"/>
        <v>36</v>
      </c>
    </row>
    <row r="511" spans="1:25" ht="15.75" hidden="1" customHeight="1" x14ac:dyDescent="0.35">
      <c r="A511" s="3">
        <v>17405</v>
      </c>
      <c r="B511" s="3" t="s">
        <v>23</v>
      </c>
      <c r="C511" s="2">
        <v>46179</v>
      </c>
      <c r="D511" s="2">
        <v>46174</v>
      </c>
      <c r="E511" s="2">
        <v>46122</v>
      </c>
      <c r="F511" s="2">
        <v>46152</v>
      </c>
      <c r="G511" t="s">
        <v>618</v>
      </c>
      <c r="H511" t="s">
        <v>615</v>
      </c>
      <c r="I511" t="s">
        <v>33</v>
      </c>
      <c r="J511">
        <v>47</v>
      </c>
      <c r="K511">
        <v>63</v>
      </c>
      <c r="L511">
        <f t="shared" si="44"/>
        <v>16</v>
      </c>
      <c r="M511">
        <v>16</v>
      </c>
      <c r="N511">
        <f>IF(L511&lt;&gt;M511,1,0)</f>
        <v>0</v>
      </c>
      <c r="O511">
        <v>16</v>
      </c>
      <c r="R511">
        <v>25</v>
      </c>
      <c r="S511">
        <v>3</v>
      </c>
      <c r="T511" s="3">
        <f t="shared" si="46"/>
        <v>44</v>
      </c>
      <c r="U511" s="3" t="str">
        <f t="shared" si="47"/>
        <v>USTED ESTÁ AL DÍA</v>
      </c>
      <c r="V511" s="3" t="s">
        <v>27</v>
      </c>
      <c r="Y511">
        <f t="shared" si="48"/>
        <v>44</v>
      </c>
    </row>
    <row r="512" spans="1:25" ht="15.75" hidden="1" customHeight="1" x14ac:dyDescent="0.35">
      <c r="A512" s="3">
        <v>17406</v>
      </c>
      <c r="B512" s="3" t="s">
        <v>23</v>
      </c>
      <c r="C512" s="2">
        <v>46179</v>
      </c>
      <c r="D512" s="2">
        <v>46174</v>
      </c>
      <c r="E512" s="2">
        <v>46122</v>
      </c>
      <c r="F512" s="2">
        <v>46152</v>
      </c>
      <c r="G512" t="s">
        <v>619</v>
      </c>
      <c r="H512" t="s">
        <v>615</v>
      </c>
      <c r="I512" t="s">
        <v>35</v>
      </c>
      <c r="J512">
        <v>35</v>
      </c>
      <c r="K512">
        <v>49</v>
      </c>
      <c r="L512">
        <f t="shared" si="44"/>
        <v>14</v>
      </c>
      <c r="M512">
        <v>14</v>
      </c>
      <c r="N512">
        <f>IF(L512&lt;&gt;M512,1,0)</f>
        <v>0</v>
      </c>
      <c r="O512">
        <v>14</v>
      </c>
      <c r="R512">
        <v>3</v>
      </c>
      <c r="S512">
        <v>3</v>
      </c>
      <c r="T512" s="3">
        <f t="shared" si="46"/>
        <v>20</v>
      </c>
      <c r="U512" s="3" t="str">
        <f t="shared" si="47"/>
        <v>USTED ESTÁ AL DÍA</v>
      </c>
      <c r="V512" s="3" t="s">
        <v>27</v>
      </c>
      <c r="X512">
        <v>50</v>
      </c>
      <c r="Y512">
        <f t="shared" si="48"/>
        <v>70</v>
      </c>
    </row>
    <row r="513" spans="1:25" ht="15.75" hidden="1" customHeight="1" x14ac:dyDescent="0.35">
      <c r="A513" s="3">
        <v>17407</v>
      </c>
      <c r="B513" s="3" t="s">
        <v>23</v>
      </c>
      <c r="C513" s="2">
        <v>46179</v>
      </c>
      <c r="D513" s="2">
        <v>46174</v>
      </c>
      <c r="E513" s="2">
        <v>46122</v>
      </c>
      <c r="F513" s="2">
        <v>46152</v>
      </c>
      <c r="G513" t="s">
        <v>620</v>
      </c>
      <c r="H513" t="s">
        <v>615</v>
      </c>
      <c r="I513" t="s">
        <v>37</v>
      </c>
      <c r="J513">
        <v>10</v>
      </c>
      <c r="K513">
        <v>14</v>
      </c>
      <c r="L513">
        <f t="shared" si="44"/>
        <v>4</v>
      </c>
      <c r="M513">
        <v>5</v>
      </c>
      <c r="O513">
        <v>5</v>
      </c>
      <c r="R513">
        <v>25</v>
      </c>
      <c r="S513">
        <v>3</v>
      </c>
      <c r="T513" s="3">
        <f t="shared" si="46"/>
        <v>33</v>
      </c>
      <c r="U513" s="3" t="str">
        <f t="shared" si="47"/>
        <v>USTED ESTÁ AL DÍA</v>
      </c>
      <c r="V513" s="3" t="s">
        <v>27</v>
      </c>
      <c r="Y513">
        <f t="shared" si="48"/>
        <v>33</v>
      </c>
    </row>
    <row r="514" spans="1:25" ht="15.75" hidden="1" customHeight="1" x14ac:dyDescent="0.35">
      <c r="A514" s="3">
        <v>17408</v>
      </c>
      <c r="B514" s="3" t="s">
        <v>23</v>
      </c>
      <c r="C514" s="2">
        <v>46179</v>
      </c>
      <c r="D514" s="2">
        <v>46174</v>
      </c>
      <c r="E514" s="2">
        <v>46122</v>
      </c>
      <c r="F514" s="2">
        <v>46152</v>
      </c>
      <c r="G514" t="s">
        <v>621</v>
      </c>
      <c r="H514" t="s">
        <v>615</v>
      </c>
      <c r="I514" t="s">
        <v>39</v>
      </c>
      <c r="J514">
        <v>358</v>
      </c>
      <c r="K514">
        <v>362</v>
      </c>
      <c r="L514">
        <f t="shared" ref="L514:L575" si="50">K514-J514</f>
        <v>4</v>
      </c>
      <c r="M514">
        <v>5</v>
      </c>
      <c r="O514">
        <v>5</v>
      </c>
      <c r="S514">
        <v>3</v>
      </c>
      <c r="T514" s="3">
        <f t="shared" ref="T514:T575" si="51">SUM(O514:S514)</f>
        <v>8</v>
      </c>
      <c r="U514" s="3" t="str">
        <f t="shared" ref="U514:U575" si="52">IF(P514&lt;8,"USTED ESTÁ AL DÍA","USTED NO ESTÁ AL DÍA")</f>
        <v>USTED ESTÁ AL DÍA</v>
      </c>
      <c r="V514" s="3" t="s">
        <v>27</v>
      </c>
      <c r="W514">
        <v>50</v>
      </c>
      <c r="X514">
        <v>50</v>
      </c>
      <c r="Y514">
        <f t="shared" ref="Y514:Y575" si="53">T514+W514+X514</f>
        <v>108</v>
      </c>
    </row>
    <row r="515" spans="1:25" ht="15.75" hidden="1" customHeight="1" x14ac:dyDescent="0.35">
      <c r="A515" s="3">
        <v>17409</v>
      </c>
      <c r="B515" s="3" t="s">
        <v>23</v>
      </c>
      <c r="C515" s="2">
        <v>46179</v>
      </c>
      <c r="D515" s="2">
        <v>46174</v>
      </c>
      <c r="E515" s="2">
        <v>46122</v>
      </c>
      <c r="F515" s="2">
        <v>46152</v>
      </c>
      <c r="G515" t="s">
        <v>622</v>
      </c>
      <c r="H515" t="s">
        <v>615</v>
      </c>
      <c r="I515" t="s">
        <v>43</v>
      </c>
      <c r="J515">
        <v>0</v>
      </c>
      <c r="K515">
        <v>0</v>
      </c>
      <c r="L515">
        <f t="shared" si="50"/>
        <v>0</v>
      </c>
      <c r="M515">
        <v>5</v>
      </c>
      <c r="O515">
        <v>5</v>
      </c>
      <c r="S515">
        <v>3</v>
      </c>
      <c r="T515" s="3">
        <f t="shared" si="51"/>
        <v>8</v>
      </c>
      <c r="U515" s="3" t="str">
        <f t="shared" si="52"/>
        <v>USTED ESTÁ AL DÍA</v>
      </c>
      <c r="V515" s="3" t="s">
        <v>27</v>
      </c>
      <c r="Y515">
        <f t="shared" si="53"/>
        <v>8</v>
      </c>
    </row>
    <row r="516" spans="1:25" ht="15.75" hidden="1" customHeight="1" x14ac:dyDescent="0.35">
      <c r="A516" s="3">
        <v>17410</v>
      </c>
      <c r="B516" s="3" t="s">
        <v>23</v>
      </c>
      <c r="C516" s="2">
        <v>46179</v>
      </c>
      <c r="D516" s="2">
        <v>46174</v>
      </c>
      <c r="E516" s="2">
        <v>46122</v>
      </c>
      <c r="F516" s="2">
        <v>46152</v>
      </c>
      <c r="G516" t="s">
        <v>623</v>
      </c>
      <c r="H516" t="s">
        <v>615</v>
      </c>
      <c r="I516" t="s">
        <v>68</v>
      </c>
      <c r="J516">
        <v>670</v>
      </c>
      <c r="K516">
        <v>676</v>
      </c>
      <c r="L516">
        <f t="shared" si="50"/>
        <v>6</v>
      </c>
      <c r="M516">
        <v>6</v>
      </c>
      <c r="N516">
        <f>IF(L516&lt;&gt;M516,1,0)</f>
        <v>0</v>
      </c>
      <c r="O516">
        <v>6</v>
      </c>
      <c r="S516">
        <v>3</v>
      </c>
      <c r="T516" s="3">
        <f t="shared" si="51"/>
        <v>9</v>
      </c>
      <c r="U516" s="3" t="str">
        <f t="shared" si="52"/>
        <v>USTED ESTÁ AL DÍA</v>
      </c>
      <c r="V516" s="3" t="s">
        <v>27</v>
      </c>
      <c r="W516">
        <v>50</v>
      </c>
      <c r="X516">
        <v>75</v>
      </c>
      <c r="Y516">
        <f t="shared" si="53"/>
        <v>134</v>
      </c>
    </row>
    <row r="517" spans="1:25" ht="15.75" hidden="1" customHeight="1" x14ac:dyDescent="0.35">
      <c r="A517" s="3">
        <v>17411</v>
      </c>
      <c r="B517" s="3" t="s">
        <v>23</v>
      </c>
      <c r="C517" s="2">
        <v>46179</v>
      </c>
      <c r="D517" s="2">
        <v>46174</v>
      </c>
      <c r="E517" s="2">
        <v>46122</v>
      </c>
      <c r="F517" s="2">
        <v>46152</v>
      </c>
      <c r="G517" t="s">
        <v>624</v>
      </c>
      <c r="H517" t="s">
        <v>615</v>
      </c>
      <c r="I517" t="s">
        <v>97</v>
      </c>
      <c r="J517">
        <v>41</v>
      </c>
      <c r="K517">
        <v>42</v>
      </c>
      <c r="L517">
        <f t="shared" si="50"/>
        <v>1</v>
      </c>
      <c r="M517">
        <v>5</v>
      </c>
      <c r="O517">
        <v>5</v>
      </c>
      <c r="S517">
        <v>3</v>
      </c>
      <c r="T517" s="3">
        <f t="shared" si="51"/>
        <v>8</v>
      </c>
      <c r="U517" s="3" t="str">
        <f t="shared" si="52"/>
        <v>USTED ESTÁ AL DÍA</v>
      </c>
      <c r="V517" s="3" t="s">
        <v>27</v>
      </c>
      <c r="W517">
        <v>50</v>
      </c>
      <c r="X517">
        <v>50</v>
      </c>
      <c r="Y517">
        <f t="shared" si="53"/>
        <v>108</v>
      </c>
    </row>
    <row r="518" spans="1:25" ht="15.75" hidden="1" customHeight="1" x14ac:dyDescent="0.35">
      <c r="A518" s="3">
        <v>17412</v>
      </c>
      <c r="B518" s="3" t="s">
        <v>23</v>
      </c>
      <c r="C518" s="2">
        <v>46179</v>
      </c>
      <c r="D518" s="2">
        <v>46174</v>
      </c>
      <c r="E518" s="2">
        <v>46122</v>
      </c>
      <c r="F518" s="2">
        <v>46152</v>
      </c>
      <c r="G518" t="s">
        <v>625</v>
      </c>
      <c r="H518" t="s">
        <v>615</v>
      </c>
      <c r="I518" t="s">
        <v>79</v>
      </c>
      <c r="J518">
        <v>3671</v>
      </c>
      <c r="K518">
        <v>3690</v>
      </c>
      <c r="L518">
        <f t="shared" si="50"/>
        <v>19</v>
      </c>
      <c r="M518">
        <v>19</v>
      </c>
      <c r="N518">
        <f>IF(L518&lt;&gt;M518,1,0)</f>
        <v>0</v>
      </c>
      <c r="O518">
        <v>19</v>
      </c>
      <c r="S518">
        <v>3</v>
      </c>
      <c r="T518" s="3">
        <f t="shared" si="51"/>
        <v>22</v>
      </c>
      <c r="U518" s="3" t="str">
        <f t="shared" si="52"/>
        <v>USTED ESTÁ AL DÍA</v>
      </c>
      <c r="V518" s="3" t="s">
        <v>27</v>
      </c>
      <c r="X518">
        <v>50</v>
      </c>
      <c r="Y518">
        <f t="shared" si="53"/>
        <v>72</v>
      </c>
    </row>
    <row r="519" spans="1:25" ht="15.75" hidden="1" customHeight="1" x14ac:dyDescent="0.35">
      <c r="A519" s="3">
        <v>17413</v>
      </c>
      <c r="B519" s="3" t="s">
        <v>23</v>
      </c>
      <c r="C519" s="2">
        <v>46179</v>
      </c>
      <c r="D519" s="2">
        <v>46174</v>
      </c>
      <c r="E519" s="2">
        <v>46122</v>
      </c>
      <c r="F519" s="2">
        <v>46152</v>
      </c>
      <c r="G519" t="s">
        <v>626</v>
      </c>
      <c r="H519" t="s">
        <v>615</v>
      </c>
      <c r="I519" t="s">
        <v>93</v>
      </c>
      <c r="J519">
        <v>2268</v>
      </c>
      <c r="K519">
        <v>2274</v>
      </c>
      <c r="L519">
        <f t="shared" si="50"/>
        <v>6</v>
      </c>
      <c r="M519">
        <v>6</v>
      </c>
      <c r="N519">
        <f>IF(L519&lt;&gt;M519,1,0)</f>
        <v>0</v>
      </c>
      <c r="O519">
        <v>6</v>
      </c>
      <c r="S519">
        <v>3</v>
      </c>
      <c r="T519" s="3">
        <f t="shared" si="51"/>
        <v>9</v>
      </c>
      <c r="U519" s="3" t="str">
        <f t="shared" si="52"/>
        <v>USTED ESTÁ AL DÍA</v>
      </c>
      <c r="V519" s="3" t="s">
        <v>27</v>
      </c>
      <c r="X519">
        <v>50</v>
      </c>
      <c r="Y519">
        <f t="shared" si="53"/>
        <v>59</v>
      </c>
    </row>
    <row r="520" spans="1:25" ht="15.75" hidden="1" customHeight="1" x14ac:dyDescent="0.35">
      <c r="A520" s="3">
        <v>17414</v>
      </c>
      <c r="B520" s="3" t="s">
        <v>23</v>
      </c>
      <c r="C520" s="2">
        <v>46179</v>
      </c>
      <c r="D520" s="2">
        <v>46174</v>
      </c>
      <c r="E520" s="2">
        <v>46122</v>
      </c>
      <c r="F520" s="2">
        <v>46152</v>
      </c>
      <c r="G520" t="s">
        <v>627</v>
      </c>
      <c r="H520" t="s">
        <v>615</v>
      </c>
      <c r="I520" t="s">
        <v>91</v>
      </c>
      <c r="J520">
        <v>2318</v>
      </c>
      <c r="K520">
        <v>2354</v>
      </c>
      <c r="L520">
        <f t="shared" si="50"/>
        <v>36</v>
      </c>
      <c r="M520">
        <v>36</v>
      </c>
      <c r="N520">
        <f>IF(L520&lt;&gt;M520,1,0)</f>
        <v>0</v>
      </c>
      <c r="O520">
        <v>36</v>
      </c>
      <c r="S520">
        <v>3</v>
      </c>
      <c r="T520" s="3">
        <f t="shared" si="51"/>
        <v>39</v>
      </c>
      <c r="U520" s="3" t="str">
        <f t="shared" si="52"/>
        <v>USTED ESTÁ AL DÍA</v>
      </c>
      <c r="V520" s="3" t="s">
        <v>27</v>
      </c>
      <c r="X520">
        <v>50</v>
      </c>
      <c r="Y520">
        <f t="shared" si="53"/>
        <v>89</v>
      </c>
    </row>
    <row r="521" spans="1:25" ht="15.75" hidden="1" customHeight="1" x14ac:dyDescent="0.35">
      <c r="A521" s="3">
        <v>17415</v>
      </c>
      <c r="B521" s="3" t="s">
        <v>23</v>
      </c>
      <c r="C521" s="2">
        <v>46179</v>
      </c>
      <c r="D521" s="2">
        <v>46174</v>
      </c>
      <c r="E521" s="2">
        <v>46122</v>
      </c>
      <c r="F521" s="2">
        <v>46152</v>
      </c>
      <c r="G521" t="s">
        <v>628</v>
      </c>
      <c r="H521" t="s">
        <v>615</v>
      </c>
      <c r="I521" t="s">
        <v>84</v>
      </c>
      <c r="J521">
        <v>1177</v>
      </c>
      <c r="K521">
        <v>1188</v>
      </c>
      <c r="L521">
        <f t="shared" si="50"/>
        <v>11</v>
      </c>
      <c r="M521">
        <v>11</v>
      </c>
      <c r="N521">
        <f>IF(L521&lt;&gt;M521,1,0)</f>
        <v>0</v>
      </c>
      <c r="O521">
        <v>11</v>
      </c>
      <c r="S521">
        <v>3</v>
      </c>
      <c r="T521" s="3">
        <f t="shared" si="51"/>
        <v>14</v>
      </c>
      <c r="U521" s="3" t="str">
        <f t="shared" si="52"/>
        <v>USTED ESTÁ AL DÍA</v>
      </c>
      <c r="V521" s="3" t="s">
        <v>27</v>
      </c>
      <c r="X521">
        <v>50</v>
      </c>
      <c r="Y521">
        <f t="shared" si="53"/>
        <v>64</v>
      </c>
    </row>
    <row r="522" spans="1:25" ht="15.75" hidden="1" customHeight="1" x14ac:dyDescent="0.35">
      <c r="A522" s="3">
        <v>17416</v>
      </c>
      <c r="B522" s="3" t="s">
        <v>23</v>
      </c>
      <c r="C522" s="2">
        <v>46179</v>
      </c>
      <c r="D522" s="2">
        <v>46174</v>
      </c>
      <c r="E522" s="2">
        <v>46122</v>
      </c>
      <c r="F522" s="2">
        <v>46152</v>
      </c>
      <c r="G522" t="s">
        <v>622</v>
      </c>
      <c r="H522" t="s">
        <v>615</v>
      </c>
      <c r="I522" t="s">
        <v>41</v>
      </c>
      <c r="L522">
        <f t="shared" si="50"/>
        <v>0</v>
      </c>
      <c r="S522">
        <v>0</v>
      </c>
      <c r="T522" s="3">
        <f t="shared" si="51"/>
        <v>0</v>
      </c>
      <c r="U522" s="3" t="str">
        <f t="shared" si="52"/>
        <v>USTED ESTÁ AL DÍA</v>
      </c>
      <c r="V522" s="3" t="s">
        <v>27</v>
      </c>
      <c r="Y522">
        <f t="shared" si="53"/>
        <v>0</v>
      </c>
    </row>
    <row r="523" spans="1:25" ht="15.75" hidden="1" customHeight="1" x14ac:dyDescent="0.35">
      <c r="A523" s="3">
        <v>17417</v>
      </c>
      <c r="B523" s="3" t="s">
        <v>23</v>
      </c>
      <c r="C523" s="2">
        <v>46179</v>
      </c>
      <c r="D523" s="2">
        <v>46174</v>
      </c>
      <c r="E523" s="2">
        <v>46122</v>
      </c>
      <c r="F523" s="2">
        <v>46152</v>
      </c>
      <c r="G523" t="s">
        <v>622</v>
      </c>
      <c r="H523" t="s">
        <v>615</v>
      </c>
      <c r="I523" t="s">
        <v>47</v>
      </c>
      <c r="L523">
        <f t="shared" si="50"/>
        <v>0</v>
      </c>
      <c r="S523">
        <v>0</v>
      </c>
      <c r="T523" s="3">
        <f t="shared" si="51"/>
        <v>0</v>
      </c>
      <c r="U523" s="3" t="str">
        <f t="shared" si="52"/>
        <v>USTED ESTÁ AL DÍA</v>
      </c>
      <c r="V523" s="3" t="s">
        <v>27</v>
      </c>
      <c r="Y523">
        <f t="shared" si="53"/>
        <v>0</v>
      </c>
    </row>
    <row r="524" spans="1:25" ht="15.75" hidden="1" customHeight="1" x14ac:dyDescent="0.35">
      <c r="A524" s="3">
        <v>17418</v>
      </c>
      <c r="B524" s="3" t="s">
        <v>23</v>
      </c>
      <c r="C524" s="2">
        <v>46179</v>
      </c>
      <c r="D524" s="2">
        <v>46174</v>
      </c>
      <c r="E524" s="2">
        <v>46122</v>
      </c>
      <c r="F524" s="2">
        <v>46152</v>
      </c>
      <c r="G524" t="s">
        <v>629</v>
      </c>
      <c r="H524" t="s">
        <v>615</v>
      </c>
      <c r="I524" t="s">
        <v>66</v>
      </c>
      <c r="L524">
        <f t="shared" si="50"/>
        <v>0</v>
      </c>
      <c r="S524">
        <v>0</v>
      </c>
      <c r="T524" s="3">
        <f t="shared" si="51"/>
        <v>0</v>
      </c>
      <c r="U524" s="3" t="str">
        <f t="shared" si="52"/>
        <v>USTED ESTÁ AL DÍA</v>
      </c>
      <c r="V524" s="3" t="s">
        <v>27</v>
      </c>
      <c r="W524">
        <v>50</v>
      </c>
      <c r="X524">
        <v>75</v>
      </c>
      <c r="Y524">
        <f t="shared" si="53"/>
        <v>125</v>
      </c>
    </row>
    <row r="525" spans="1:25" ht="15.75" hidden="1" customHeight="1" x14ac:dyDescent="0.35">
      <c r="A525" s="3">
        <v>17419</v>
      </c>
      <c r="B525" s="3" t="s">
        <v>23</v>
      </c>
      <c r="C525" s="2">
        <v>46179</v>
      </c>
      <c r="D525" s="2">
        <v>46174</v>
      </c>
      <c r="E525" s="2">
        <v>46122</v>
      </c>
      <c r="F525" s="2">
        <v>46152</v>
      </c>
      <c r="G525" t="s">
        <v>630</v>
      </c>
      <c r="H525" t="s">
        <v>615</v>
      </c>
      <c r="I525" t="s">
        <v>101</v>
      </c>
      <c r="L525">
        <f t="shared" si="50"/>
        <v>0</v>
      </c>
      <c r="S525">
        <v>0</v>
      </c>
      <c r="T525" s="3">
        <f t="shared" si="51"/>
        <v>0</v>
      </c>
      <c r="U525" s="3" t="str">
        <f t="shared" si="52"/>
        <v>USTED ESTÁ AL DÍA</v>
      </c>
      <c r="V525" s="3" t="s">
        <v>27</v>
      </c>
      <c r="W525">
        <v>50</v>
      </c>
      <c r="Y525">
        <f t="shared" si="53"/>
        <v>50</v>
      </c>
    </row>
    <row r="526" spans="1:25" ht="15.75" hidden="1" customHeight="1" x14ac:dyDescent="0.35">
      <c r="A526" s="3">
        <v>17420</v>
      </c>
      <c r="B526" s="3" t="s">
        <v>23</v>
      </c>
      <c r="C526" s="2">
        <v>46179</v>
      </c>
      <c r="D526" s="2">
        <v>46174</v>
      </c>
      <c r="E526" s="2">
        <v>46122</v>
      </c>
      <c r="F526" s="2">
        <v>46152</v>
      </c>
      <c r="G526" t="s">
        <v>631</v>
      </c>
      <c r="H526" t="s">
        <v>615</v>
      </c>
      <c r="I526" t="s">
        <v>95</v>
      </c>
      <c r="L526">
        <f t="shared" si="50"/>
        <v>0</v>
      </c>
      <c r="S526">
        <v>0</v>
      </c>
      <c r="T526" s="3">
        <f t="shared" si="51"/>
        <v>0</v>
      </c>
      <c r="U526" s="3" t="str">
        <f t="shared" si="52"/>
        <v>USTED ESTÁ AL DÍA</v>
      </c>
      <c r="V526" s="3" t="s">
        <v>27</v>
      </c>
      <c r="W526">
        <v>50</v>
      </c>
      <c r="X526">
        <v>75</v>
      </c>
      <c r="Y526">
        <f t="shared" si="53"/>
        <v>125</v>
      </c>
    </row>
    <row r="527" spans="1:25" ht="15.75" hidden="1" customHeight="1" x14ac:dyDescent="0.35">
      <c r="A527" s="3">
        <v>17421</v>
      </c>
      <c r="B527" s="3" t="s">
        <v>23</v>
      </c>
      <c r="C527" s="2">
        <v>46179</v>
      </c>
      <c r="D527" s="2">
        <v>46174</v>
      </c>
      <c r="E527" s="2">
        <v>46122</v>
      </c>
      <c r="F527" s="2">
        <v>46152</v>
      </c>
      <c r="G527" t="s">
        <v>632</v>
      </c>
      <c r="H527" t="s">
        <v>633</v>
      </c>
      <c r="I527" t="s">
        <v>29</v>
      </c>
      <c r="J527">
        <v>1715</v>
      </c>
      <c r="K527">
        <v>1734</v>
      </c>
      <c r="L527">
        <f t="shared" si="50"/>
        <v>19</v>
      </c>
      <c r="M527">
        <v>19</v>
      </c>
      <c r="N527">
        <f>IF(L527&lt;&gt;M527,1,0)</f>
        <v>0</v>
      </c>
      <c r="O527">
        <v>19</v>
      </c>
      <c r="P527">
        <v>21</v>
      </c>
      <c r="S527">
        <v>3</v>
      </c>
      <c r="T527" s="3">
        <f t="shared" si="51"/>
        <v>43</v>
      </c>
      <c r="U527" s="3" t="str">
        <f t="shared" si="52"/>
        <v>USTED NO ESTÁ AL DÍA</v>
      </c>
      <c r="V527" s="3" t="s">
        <v>27</v>
      </c>
      <c r="W527">
        <v>30</v>
      </c>
      <c r="X527">
        <v>50</v>
      </c>
      <c r="Y527">
        <f t="shared" si="53"/>
        <v>123</v>
      </c>
    </row>
    <row r="528" spans="1:25" ht="15.75" hidden="1" customHeight="1" x14ac:dyDescent="0.35">
      <c r="A528" s="3">
        <v>17422</v>
      </c>
      <c r="B528" s="3" t="s">
        <v>23</v>
      </c>
      <c r="C528" s="2">
        <v>46179</v>
      </c>
      <c r="D528" s="2">
        <v>46174</v>
      </c>
      <c r="E528" s="2">
        <v>46122</v>
      </c>
      <c r="F528" s="2">
        <v>46152</v>
      </c>
      <c r="G528" t="s">
        <v>634</v>
      </c>
      <c r="H528" t="s">
        <v>633</v>
      </c>
      <c r="I528" t="s">
        <v>33</v>
      </c>
      <c r="J528">
        <v>3289</v>
      </c>
      <c r="K528">
        <v>3303</v>
      </c>
      <c r="L528">
        <f t="shared" si="50"/>
        <v>14</v>
      </c>
      <c r="M528">
        <v>14</v>
      </c>
      <c r="N528">
        <f>IF(L528&lt;&gt;M528,1,0)</f>
        <v>0</v>
      </c>
      <c r="O528">
        <v>14</v>
      </c>
      <c r="P528">
        <v>19</v>
      </c>
      <c r="S528">
        <v>3</v>
      </c>
      <c r="T528" s="3">
        <f t="shared" si="51"/>
        <v>36</v>
      </c>
      <c r="U528" s="3" t="str">
        <f t="shared" si="52"/>
        <v>USTED NO ESTÁ AL DÍA</v>
      </c>
      <c r="V528" s="3" t="s">
        <v>27</v>
      </c>
      <c r="W528">
        <v>30</v>
      </c>
      <c r="X528">
        <v>50</v>
      </c>
      <c r="Y528">
        <f t="shared" si="53"/>
        <v>116</v>
      </c>
    </row>
    <row r="529" spans="1:25" ht="15.75" hidden="1" customHeight="1" x14ac:dyDescent="0.35">
      <c r="A529" s="3">
        <v>17423</v>
      </c>
      <c r="B529" s="3" t="s">
        <v>23</v>
      </c>
      <c r="C529" s="2">
        <v>46179</v>
      </c>
      <c r="D529" s="2">
        <v>46174</v>
      </c>
      <c r="E529" s="2">
        <v>46122</v>
      </c>
      <c r="F529" s="2">
        <v>46152</v>
      </c>
      <c r="G529" t="s">
        <v>635</v>
      </c>
      <c r="H529" t="s">
        <v>633</v>
      </c>
      <c r="I529" t="s">
        <v>37</v>
      </c>
      <c r="J529">
        <v>2557</v>
      </c>
      <c r="K529">
        <v>2571</v>
      </c>
      <c r="L529">
        <f t="shared" si="50"/>
        <v>14</v>
      </c>
      <c r="M529">
        <v>14</v>
      </c>
      <c r="N529">
        <f>IF(L529&lt;&gt;M529,1,0)</f>
        <v>0</v>
      </c>
      <c r="O529">
        <v>14</v>
      </c>
      <c r="P529">
        <v>24</v>
      </c>
      <c r="S529">
        <v>3</v>
      </c>
      <c r="T529" s="3">
        <f t="shared" si="51"/>
        <v>41</v>
      </c>
      <c r="U529" s="3" t="str">
        <f t="shared" si="52"/>
        <v>USTED NO ESTÁ AL DÍA</v>
      </c>
      <c r="V529" s="3" t="s">
        <v>27</v>
      </c>
      <c r="X529">
        <v>50</v>
      </c>
      <c r="Y529">
        <f t="shared" si="53"/>
        <v>91</v>
      </c>
    </row>
    <row r="530" spans="1:25" ht="15.75" hidden="1" customHeight="1" x14ac:dyDescent="0.35">
      <c r="A530" s="3">
        <v>17424</v>
      </c>
      <c r="B530" s="3" t="s">
        <v>23</v>
      </c>
      <c r="C530" s="2">
        <v>46179</v>
      </c>
      <c r="D530" s="2">
        <v>46174</v>
      </c>
      <c r="E530" s="2">
        <v>46122</v>
      </c>
      <c r="F530" s="2">
        <v>46152</v>
      </c>
      <c r="G530" t="s">
        <v>636</v>
      </c>
      <c r="H530" t="s">
        <v>633</v>
      </c>
      <c r="I530" t="s">
        <v>66</v>
      </c>
      <c r="J530">
        <v>1176</v>
      </c>
      <c r="K530">
        <v>1186</v>
      </c>
      <c r="L530">
        <f t="shared" si="50"/>
        <v>10</v>
      </c>
      <c r="M530">
        <v>10</v>
      </c>
      <c r="N530">
        <f>IF(L530&lt;&gt;M530,1,0)</f>
        <v>0</v>
      </c>
      <c r="O530">
        <v>10</v>
      </c>
      <c r="P530">
        <v>11</v>
      </c>
      <c r="S530">
        <v>3</v>
      </c>
      <c r="T530" s="3">
        <f t="shared" si="51"/>
        <v>24</v>
      </c>
      <c r="U530" s="3" t="str">
        <f t="shared" si="52"/>
        <v>USTED NO ESTÁ AL DÍA</v>
      </c>
      <c r="V530" s="3" t="s">
        <v>27</v>
      </c>
      <c r="Y530">
        <f t="shared" si="53"/>
        <v>24</v>
      </c>
    </row>
    <row r="531" spans="1:25" ht="15.75" hidden="1" customHeight="1" x14ac:dyDescent="0.35">
      <c r="A531" s="3">
        <v>17425</v>
      </c>
      <c r="B531" s="3" t="s">
        <v>23</v>
      </c>
      <c r="C531" s="2">
        <v>46179</v>
      </c>
      <c r="D531" s="2">
        <v>46174</v>
      </c>
      <c r="E531" s="2">
        <v>46122</v>
      </c>
      <c r="F531" s="2">
        <v>46152</v>
      </c>
      <c r="G531" t="s">
        <v>637</v>
      </c>
      <c r="H531" t="s">
        <v>633</v>
      </c>
      <c r="I531" t="s">
        <v>638</v>
      </c>
      <c r="J531">
        <v>47</v>
      </c>
      <c r="K531">
        <v>47</v>
      </c>
      <c r="L531">
        <f t="shared" si="50"/>
        <v>0</v>
      </c>
      <c r="M531">
        <v>5</v>
      </c>
      <c r="O531">
        <v>5</v>
      </c>
      <c r="P531">
        <v>160</v>
      </c>
      <c r="Q531">
        <v>40</v>
      </c>
      <c r="S531">
        <v>3</v>
      </c>
      <c r="T531" s="3">
        <f t="shared" si="51"/>
        <v>208</v>
      </c>
      <c r="U531" s="3" t="str">
        <f t="shared" si="52"/>
        <v>USTED NO ESTÁ AL DÍA</v>
      </c>
      <c r="V531" s="3" t="s">
        <v>27</v>
      </c>
      <c r="W531">
        <v>100</v>
      </c>
      <c r="Y531">
        <f t="shared" si="53"/>
        <v>308</v>
      </c>
    </row>
    <row r="532" spans="1:25" ht="15.75" hidden="1" customHeight="1" x14ac:dyDescent="0.35">
      <c r="A532" s="3">
        <v>17426</v>
      </c>
      <c r="B532" s="3" t="s">
        <v>23</v>
      </c>
      <c r="C532" s="2">
        <v>46179</v>
      </c>
      <c r="D532" s="2">
        <v>46174</v>
      </c>
      <c r="E532" s="2">
        <v>46122</v>
      </c>
      <c r="F532" s="2">
        <v>46152</v>
      </c>
      <c r="G532" t="s">
        <v>639</v>
      </c>
      <c r="H532" t="s">
        <v>633</v>
      </c>
      <c r="I532" t="s">
        <v>26</v>
      </c>
      <c r="J532">
        <v>230</v>
      </c>
      <c r="K532">
        <v>240</v>
      </c>
      <c r="L532">
        <f t="shared" si="50"/>
        <v>10</v>
      </c>
      <c r="M532">
        <v>10</v>
      </c>
      <c r="N532">
        <f t="shared" ref="N532:N540" si="54">IF(L532&lt;&gt;M532,1,0)</f>
        <v>0</v>
      </c>
      <c r="O532">
        <v>10</v>
      </c>
      <c r="S532">
        <v>3</v>
      </c>
      <c r="T532" s="3">
        <f t="shared" si="51"/>
        <v>13</v>
      </c>
      <c r="U532" s="3" t="str">
        <f t="shared" si="52"/>
        <v>USTED ESTÁ AL DÍA</v>
      </c>
      <c r="V532" s="3" t="s">
        <v>27</v>
      </c>
      <c r="Y532">
        <f t="shared" si="53"/>
        <v>13</v>
      </c>
    </row>
    <row r="533" spans="1:25" ht="15.75" hidden="1" customHeight="1" x14ac:dyDescent="0.35">
      <c r="A533" s="3">
        <v>17427</v>
      </c>
      <c r="B533" s="3" t="s">
        <v>23</v>
      </c>
      <c r="C533" s="2">
        <v>46179</v>
      </c>
      <c r="D533" s="2">
        <v>46174</v>
      </c>
      <c r="E533" s="2">
        <v>46122</v>
      </c>
      <c r="F533" s="2">
        <v>46152</v>
      </c>
      <c r="G533" t="s">
        <v>640</v>
      </c>
      <c r="H533" t="s">
        <v>633</v>
      </c>
      <c r="I533" t="s">
        <v>31</v>
      </c>
      <c r="J533">
        <v>752</v>
      </c>
      <c r="K533">
        <v>766</v>
      </c>
      <c r="L533">
        <f t="shared" si="50"/>
        <v>14</v>
      </c>
      <c r="M533">
        <v>14</v>
      </c>
      <c r="N533">
        <f t="shared" si="54"/>
        <v>0</v>
      </c>
      <c r="O533">
        <v>14</v>
      </c>
      <c r="S533">
        <v>3</v>
      </c>
      <c r="T533" s="3">
        <f t="shared" si="51"/>
        <v>17</v>
      </c>
      <c r="U533" s="3" t="str">
        <f t="shared" si="52"/>
        <v>USTED ESTÁ AL DÍA</v>
      </c>
      <c r="V533" s="3" t="s">
        <v>27</v>
      </c>
      <c r="X533">
        <v>50</v>
      </c>
      <c r="Y533">
        <f t="shared" si="53"/>
        <v>67</v>
      </c>
    </row>
    <row r="534" spans="1:25" ht="15.75" hidden="1" customHeight="1" x14ac:dyDescent="0.35">
      <c r="A534" s="3">
        <v>17428</v>
      </c>
      <c r="B534" s="3" t="s">
        <v>23</v>
      </c>
      <c r="C534" s="2">
        <v>46179</v>
      </c>
      <c r="D534" s="2">
        <v>46174</v>
      </c>
      <c r="E534" s="2">
        <v>46122</v>
      </c>
      <c r="F534" s="2">
        <v>46152</v>
      </c>
      <c r="G534" t="s">
        <v>641</v>
      </c>
      <c r="H534" t="s">
        <v>633</v>
      </c>
      <c r="I534" t="s">
        <v>43</v>
      </c>
      <c r="J534">
        <v>722</v>
      </c>
      <c r="K534">
        <v>736</v>
      </c>
      <c r="L534">
        <f t="shared" si="50"/>
        <v>14</v>
      </c>
      <c r="M534">
        <v>14</v>
      </c>
      <c r="N534">
        <f t="shared" si="54"/>
        <v>0</v>
      </c>
      <c r="O534">
        <v>14</v>
      </c>
      <c r="S534">
        <v>3</v>
      </c>
      <c r="T534" s="3">
        <f t="shared" si="51"/>
        <v>17</v>
      </c>
      <c r="U534" s="3" t="str">
        <f t="shared" si="52"/>
        <v>USTED ESTÁ AL DÍA</v>
      </c>
      <c r="V534" s="3" t="s">
        <v>27</v>
      </c>
      <c r="W534">
        <v>30</v>
      </c>
      <c r="X534">
        <v>75</v>
      </c>
      <c r="Y534">
        <f t="shared" si="53"/>
        <v>122</v>
      </c>
    </row>
    <row r="535" spans="1:25" ht="15.75" hidden="1" customHeight="1" x14ac:dyDescent="0.35">
      <c r="A535" s="3">
        <v>17429</v>
      </c>
      <c r="B535" s="3" t="s">
        <v>23</v>
      </c>
      <c r="C535" s="2">
        <v>46179</v>
      </c>
      <c r="D535" s="2">
        <v>46174</v>
      </c>
      <c r="E535" s="2">
        <v>46122</v>
      </c>
      <c r="F535" s="2">
        <v>46152</v>
      </c>
      <c r="G535" t="s">
        <v>642</v>
      </c>
      <c r="H535" t="s">
        <v>633</v>
      </c>
      <c r="I535" t="s">
        <v>45</v>
      </c>
      <c r="J535">
        <v>564</v>
      </c>
      <c r="K535">
        <v>590</v>
      </c>
      <c r="L535">
        <f t="shared" si="50"/>
        <v>26</v>
      </c>
      <c r="M535">
        <v>26</v>
      </c>
      <c r="N535">
        <f t="shared" si="54"/>
        <v>0</v>
      </c>
      <c r="O535">
        <v>26</v>
      </c>
      <c r="S535">
        <v>3</v>
      </c>
      <c r="T535" s="3">
        <f t="shared" si="51"/>
        <v>29</v>
      </c>
      <c r="U535" s="3" t="str">
        <f t="shared" si="52"/>
        <v>USTED ESTÁ AL DÍA</v>
      </c>
      <c r="V535" s="3" t="s">
        <v>27</v>
      </c>
      <c r="Y535">
        <f t="shared" si="53"/>
        <v>29</v>
      </c>
    </row>
    <row r="536" spans="1:25" ht="15.75" hidden="1" customHeight="1" x14ac:dyDescent="0.35">
      <c r="A536" s="3">
        <v>17430</v>
      </c>
      <c r="B536" s="3" t="s">
        <v>23</v>
      </c>
      <c r="C536" s="2">
        <v>46179</v>
      </c>
      <c r="D536" s="2">
        <v>46174</v>
      </c>
      <c r="E536" s="2">
        <v>46122</v>
      </c>
      <c r="F536" s="2">
        <v>46152</v>
      </c>
      <c r="G536" t="s">
        <v>643</v>
      </c>
      <c r="H536" t="s">
        <v>633</v>
      </c>
      <c r="I536" t="s">
        <v>47</v>
      </c>
      <c r="J536">
        <v>113</v>
      </c>
      <c r="K536">
        <v>120</v>
      </c>
      <c r="L536">
        <f t="shared" si="50"/>
        <v>7</v>
      </c>
      <c r="M536">
        <v>7</v>
      </c>
      <c r="N536">
        <f t="shared" si="54"/>
        <v>0</v>
      </c>
      <c r="O536">
        <v>7</v>
      </c>
      <c r="S536">
        <v>3</v>
      </c>
      <c r="T536" s="3">
        <f t="shared" si="51"/>
        <v>10</v>
      </c>
      <c r="U536" s="3" t="str">
        <f t="shared" si="52"/>
        <v>USTED ESTÁ AL DÍA</v>
      </c>
      <c r="V536" s="3" t="s">
        <v>27</v>
      </c>
      <c r="W536">
        <v>50</v>
      </c>
      <c r="Y536">
        <f t="shared" si="53"/>
        <v>60</v>
      </c>
    </row>
    <row r="537" spans="1:25" ht="15.75" hidden="1" customHeight="1" x14ac:dyDescent="0.35">
      <c r="A537" s="3">
        <v>17431</v>
      </c>
      <c r="B537" s="3" t="s">
        <v>23</v>
      </c>
      <c r="C537" s="2">
        <v>46179</v>
      </c>
      <c r="D537" s="2">
        <v>46174</v>
      </c>
      <c r="E537" s="2">
        <v>46122</v>
      </c>
      <c r="F537" s="2">
        <v>46152</v>
      </c>
      <c r="G537" t="s">
        <v>644</v>
      </c>
      <c r="H537" t="s">
        <v>633</v>
      </c>
      <c r="I537" t="s">
        <v>68</v>
      </c>
      <c r="J537">
        <v>999</v>
      </c>
      <c r="K537">
        <v>1012</v>
      </c>
      <c r="L537">
        <f t="shared" si="50"/>
        <v>13</v>
      </c>
      <c r="M537">
        <v>13</v>
      </c>
      <c r="N537">
        <f t="shared" si="54"/>
        <v>0</v>
      </c>
      <c r="O537">
        <v>13</v>
      </c>
      <c r="S537">
        <v>3</v>
      </c>
      <c r="T537" s="3">
        <f t="shared" si="51"/>
        <v>16</v>
      </c>
      <c r="U537" s="3" t="str">
        <f t="shared" si="52"/>
        <v>USTED ESTÁ AL DÍA</v>
      </c>
      <c r="V537" s="3" t="s">
        <v>27</v>
      </c>
      <c r="Y537">
        <f t="shared" si="53"/>
        <v>16</v>
      </c>
    </row>
    <row r="538" spans="1:25" ht="15.75" hidden="1" customHeight="1" x14ac:dyDescent="0.35">
      <c r="A538" s="3">
        <v>17432</v>
      </c>
      <c r="B538" s="3" t="s">
        <v>23</v>
      </c>
      <c r="C538" s="2">
        <v>46179</v>
      </c>
      <c r="D538" s="2">
        <v>46174</v>
      </c>
      <c r="E538" s="2">
        <v>46122</v>
      </c>
      <c r="F538" s="2">
        <v>46152</v>
      </c>
      <c r="G538" t="s">
        <v>645</v>
      </c>
      <c r="H538" t="s">
        <v>633</v>
      </c>
      <c r="I538" t="s">
        <v>97</v>
      </c>
      <c r="J538">
        <v>195</v>
      </c>
      <c r="K538">
        <v>204</v>
      </c>
      <c r="L538">
        <f t="shared" si="50"/>
        <v>9</v>
      </c>
      <c r="M538">
        <v>9</v>
      </c>
      <c r="N538">
        <f t="shared" si="54"/>
        <v>0</v>
      </c>
      <c r="O538">
        <v>9</v>
      </c>
      <c r="S538">
        <v>3</v>
      </c>
      <c r="T538" s="3">
        <f t="shared" si="51"/>
        <v>12</v>
      </c>
      <c r="U538" s="3" t="str">
        <f t="shared" si="52"/>
        <v>USTED ESTÁ AL DÍA</v>
      </c>
      <c r="V538" s="3" t="s">
        <v>27</v>
      </c>
      <c r="W538">
        <v>50</v>
      </c>
      <c r="X538">
        <v>50</v>
      </c>
      <c r="Y538">
        <f t="shared" si="53"/>
        <v>112</v>
      </c>
    </row>
    <row r="539" spans="1:25" ht="15.75" hidden="1" customHeight="1" x14ac:dyDescent="0.35">
      <c r="A539" s="3">
        <v>17433</v>
      </c>
      <c r="B539" s="3" t="s">
        <v>23</v>
      </c>
      <c r="C539" s="2">
        <v>46179</v>
      </c>
      <c r="D539" s="2">
        <v>46174</v>
      </c>
      <c r="E539" s="2">
        <v>46122</v>
      </c>
      <c r="F539" s="2">
        <v>46152</v>
      </c>
      <c r="G539" t="s">
        <v>646</v>
      </c>
      <c r="H539" t="s">
        <v>633</v>
      </c>
      <c r="I539" t="s">
        <v>93</v>
      </c>
      <c r="J539">
        <v>1350</v>
      </c>
      <c r="K539">
        <v>1356</v>
      </c>
      <c r="L539">
        <f t="shared" si="50"/>
        <v>6</v>
      </c>
      <c r="M539">
        <v>6</v>
      </c>
      <c r="N539">
        <f t="shared" si="54"/>
        <v>0</v>
      </c>
      <c r="O539">
        <v>6</v>
      </c>
      <c r="S539">
        <v>3</v>
      </c>
      <c r="T539" s="3">
        <f t="shared" si="51"/>
        <v>9</v>
      </c>
      <c r="U539" s="3" t="str">
        <f t="shared" si="52"/>
        <v>USTED ESTÁ AL DÍA</v>
      </c>
      <c r="V539" s="3" t="s">
        <v>27</v>
      </c>
      <c r="Y539">
        <f t="shared" si="53"/>
        <v>9</v>
      </c>
    </row>
    <row r="540" spans="1:25" ht="15.75" hidden="1" customHeight="1" x14ac:dyDescent="0.35">
      <c r="A540" s="3">
        <v>17434</v>
      </c>
      <c r="B540" s="3" t="s">
        <v>23</v>
      </c>
      <c r="C540" s="2">
        <v>46179</v>
      </c>
      <c r="D540" s="2">
        <v>46174</v>
      </c>
      <c r="E540" s="2">
        <v>46122</v>
      </c>
      <c r="F540" s="2">
        <v>46152</v>
      </c>
      <c r="G540" t="s">
        <v>647</v>
      </c>
      <c r="H540" t="s">
        <v>633</v>
      </c>
      <c r="I540" t="s">
        <v>124</v>
      </c>
      <c r="J540">
        <v>82</v>
      </c>
      <c r="K540">
        <v>88</v>
      </c>
      <c r="L540">
        <f t="shared" si="50"/>
        <v>6</v>
      </c>
      <c r="M540">
        <v>6</v>
      </c>
      <c r="N540">
        <f t="shared" si="54"/>
        <v>0</v>
      </c>
      <c r="O540">
        <v>6</v>
      </c>
      <c r="S540">
        <v>3</v>
      </c>
      <c r="T540" s="3">
        <f t="shared" si="51"/>
        <v>9</v>
      </c>
      <c r="U540" s="3" t="str">
        <f t="shared" si="52"/>
        <v>USTED ESTÁ AL DÍA</v>
      </c>
      <c r="V540" s="3" t="s">
        <v>27</v>
      </c>
      <c r="W540">
        <v>20</v>
      </c>
      <c r="Y540">
        <f t="shared" si="53"/>
        <v>29</v>
      </c>
    </row>
    <row r="541" spans="1:25" ht="15.75" hidden="1" customHeight="1" x14ac:dyDescent="0.35">
      <c r="A541" s="3">
        <v>17435</v>
      </c>
      <c r="B541" s="3" t="s">
        <v>23</v>
      </c>
      <c r="C541" s="2">
        <v>46179</v>
      </c>
      <c r="D541" s="2">
        <v>46174</v>
      </c>
      <c r="E541" s="2">
        <v>46122</v>
      </c>
      <c r="F541" s="2">
        <v>46152</v>
      </c>
      <c r="G541" t="s">
        <v>648</v>
      </c>
      <c r="H541" t="s">
        <v>633</v>
      </c>
      <c r="I541" t="s">
        <v>161</v>
      </c>
      <c r="J541">
        <v>295</v>
      </c>
      <c r="K541">
        <v>298</v>
      </c>
      <c r="L541">
        <f t="shared" si="50"/>
        <v>3</v>
      </c>
      <c r="M541">
        <v>5</v>
      </c>
      <c r="O541">
        <v>5</v>
      </c>
      <c r="S541">
        <v>3</v>
      </c>
      <c r="T541" s="3">
        <f t="shared" si="51"/>
        <v>8</v>
      </c>
      <c r="U541" s="3" t="str">
        <f t="shared" si="52"/>
        <v>USTED ESTÁ AL DÍA</v>
      </c>
      <c r="V541" s="3" t="s">
        <v>27</v>
      </c>
      <c r="Y541">
        <f t="shared" si="53"/>
        <v>8</v>
      </c>
    </row>
    <row r="542" spans="1:25" ht="15.75" hidden="1" customHeight="1" x14ac:dyDescent="0.35">
      <c r="A542" s="3">
        <v>17436</v>
      </c>
      <c r="B542" s="3" t="s">
        <v>23</v>
      </c>
      <c r="C542" s="2">
        <v>46179</v>
      </c>
      <c r="D542" s="2">
        <v>46174</v>
      </c>
      <c r="E542" s="2">
        <v>46122</v>
      </c>
      <c r="F542" s="2">
        <v>46152</v>
      </c>
      <c r="G542" t="s">
        <v>649</v>
      </c>
      <c r="H542" t="s">
        <v>633</v>
      </c>
      <c r="I542" t="s">
        <v>163</v>
      </c>
      <c r="J542">
        <v>854</v>
      </c>
      <c r="K542">
        <v>864</v>
      </c>
      <c r="L542">
        <f t="shared" si="50"/>
        <v>10</v>
      </c>
      <c r="M542">
        <v>10</v>
      </c>
      <c r="N542">
        <f>IF(L542&lt;&gt;M542,1,0)</f>
        <v>0</v>
      </c>
      <c r="O542">
        <v>10</v>
      </c>
      <c r="S542">
        <v>3</v>
      </c>
      <c r="T542" s="3">
        <f t="shared" si="51"/>
        <v>13</v>
      </c>
      <c r="U542" s="3" t="str">
        <f t="shared" si="52"/>
        <v>USTED ESTÁ AL DÍA</v>
      </c>
      <c r="V542" s="3" t="s">
        <v>27</v>
      </c>
      <c r="W542">
        <v>20</v>
      </c>
      <c r="Y542">
        <f t="shared" si="53"/>
        <v>33</v>
      </c>
    </row>
    <row r="543" spans="1:25" ht="15.75" hidden="1" customHeight="1" x14ac:dyDescent="0.35">
      <c r="A543" s="3">
        <v>17437</v>
      </c>
      <c r="B543" s="3" t="s">
        <v>23</v>
      </c>
      <c r="C543" s="2">
        <v>46179</v>
      </c>
      <c r="D543" s="2">
        <v>46174</v>
      </c>
      <c r="E543" s="2">
        <v>46122</v>
      </c>
      <c r="F543" s="2">
        <v>46152</v>
      </c>
      <c r="G543" t="s">
        <v>650</v>
      </c>
      <c r="H543" t="s">
        <v>633</v>
      </c>
      <c r="I543" t="s">
        <v>39</v>
      </c>
      <c r="J543">
        <v>218</v>
      </c>
      <c r="K543">
        <v>220</v>
      </c>
      <c r="L543">
        <f t="shared" si="50"/>
        <v>2</v>
      </c>
      <c r="M543">
        <v>5</v>
      </c>
      <c r="O543">
        <v>5</v>
      </c>
      <c r="S543">
        <v>3</v>
      </c>
      <c r="T543" s="3">
        <f t="shared" si="51"/>
        <v>8</v>
      </c>
      <c r="U543" s="3" t="str">
        <f t="shared" si="52"/>
        <v>USTED ESTÁ AL DÍA</v>
      </c>
      <c r="V543" s="3" t="s">
        <v>27</v>
      </c>
      <c r="W543">
        <v>20</v>
      </c>
      <c r="Y543">
        <f t="shared" si="53"/>
        <v>28</v>
      </c>
    </row>
    <row r="544" spans="1:25" ht="15.75" hidden="1" customHeight="1" x14ac:dyDescent="0.35">
      <c r="A544" s="3">
        <v>17438</v>
      </c>
      <c r="B544" s="3" t="s">
        <v>23</v>
      </c>
      <c r="C544" s="2">
        <v>46179</v>
      </c>
      <c r="D544" s="2">
        <v>46174</v>
      </c>
      <c r="E544" s="2">
        <v>46122</v>
      </c>
      <c r="F544" s="2">
        <v>46152</v>
      </c>
      <c r="G544" t="s">
        <v>651</v>
      </c>
      <c r="H544" t="s">
        <v>633</v>
      </c>
      <c r="I544" t="s">
        <v>35</v>
      </c>
      <c r="L544">
        <f t="shared" si="50"/>
        <v>0</v>
      </c>
      <c r="S544">
        <v>0</v>
      </c>
      <c r="T544" s="3">
        <f t="shared" si="51"/>
        <v>0</v>
      </c>
      <c r="U544" s="3" t="str">
        <f t="shared" si="52"/>
        <v>USTED ESTÁ AL DÍA</v>
      </c>
      <c r="V544" s="3" t="s">
        <v>27</v>
      </c>
      <c r="W544">
        <v>50</v>
      </c>
      <c r="X544">
        <v>75</v>
      </c>
      <c r="Y544">
        <f t="shared" si="53"/>
        <v>125</v>
      </c>
    </row>
    <row r="545" spans="1:25" ht="15.75" hidden="1" customHeight="1" x14ac:dyDescent="0.35">
      <c r="A545" s="3">
        <v>17439</v>
      </c>
      <c r="B545" s="3" t="s">
        <v>23</v>
      </c>
      <c r="C545" s="2">
        <v>46179</v>
      </c>
      <c r="D545" s="2">
        <v>46174</v>
      </c>
      <c r="E545" s="2">
        <v>46122</v>
      </c>
      <c r="F545" s="2">
        <v>46152</v>
      </c>
      <c r="G545" t="s">
        <v>652</v>
      </c>
      <c r="H545" t="s">
        <v>633</v>
      </c>
      <c r="I545" t="s">
        <v>41</v>
      </c>
      <c r="L545">
        <f t="shared" si="50"/>
        <v>0</v>
      </c>
      <c r="S545">
        <v>0</v>
      </c>
      <c r="T545" s="3">
        <f t="shared" si="51"/>
        <v>0</v>
      </c>
      <c r="U545" s="3" t="str">
        <f t="shared" si="52"/>
        <v>USTED ESTÁ AL DÍA</v>
      </c>
      <c r="V545" s="3" t="s">
        <v>27</v>
      </c>
      <c r="X545">
        <v>75</v>
      </c>
      <c r="Y545">
        <f t="shared" si="53"/>
        <v>75</v>
      </c>
    </row>
    <row r="546" spans="1:25" ht="15.75" hidden="1" customHeight="1" x14ac:dyDescent="0.35">
      <c r="A546" s="3">
        <v>17440</v>
      </c>
      <c r="B546" s="3" t="s">
        <v>23</v>
      </c>
      <c r="C546" s="2">
        <v>46179</v>
      </c>
      <c r="D546" s="2">
        <v>46174</v>
      </c>
      <c r="E546" s="2">
        <v>46122</v>
      </c>
      <c r="F546" s="2">
        <v>46152</v>
      </c>
      <c r="G546" t="s">
        <v>255</v>
      </c>
      <c r="H546" t="s">
        <v>633</v>
      </c>
      <c r="I546" t="s">
        <v>101</v>
      </c>
      <c r="L546">
        <f t="shared" si="50"/>
        <v>0</v>
      </c>
      <c r="S546">
        <v>0</v>
      </c>
      <c r="T546" s="3">
        <f t="shared" si="51"/>
        <v>0</v>
      </c>
      <c r="U546" s="3" t="str">
        <f t="shared" si="52"/>
        <v>USTED ESTÁ AL DÍA</v>
      </c>
      <c r="V546" s="3" t="s">
        <v>27</v>
      </c>
      <c r="Y546">
        <f t="shared" si="53"/>
        <v>0</v>
      </c>
    </row>
    <row r="547" spans="1:25" ht="15.75" hidden="1" customHeight="1" x14ac:dyDescent="0.35">
      <c r="A547" s="3">
        <v>17441</v>
      </c>
      <c r="B547" s="3" t="s">
        <v>23</v>
      </c>
      <c r="C547" s="2">
        <v>46179</v>
      </c>
      <c r="D547" s="2">
        <v>46174</v>
      </c>
      <c r="E547" s="2">
        <v>46122</v>
      </c>
      <c r="F547" s="2">
        <v>46152</v>
      </c>
      <c r="G547" t="s">
        <v>653</v>
      </c>
      <c r="H547" t="s">
        <v>633</v>
      </c>
      <c r="I547" t="s">
        <v>79</v>
      </c>
      <c r="L547">
        <f t="shared" si="50"/>
        <v>0</v>
      </c>
      <c r="S547">
        <v>0</v>
      </c>
      <c r="T547" s="3">
        <f t="shared" si="51"/>
        <v>0</v>
      </c>
      <c r="U547" s="3" t="str">
        <f t="shared" si="52"/>
        <v>USTED ESTÁ AL DÍA</v>
      </c>
      <c r="V547" s="3" t="s">
        <v>27</v>
      </c>
      <c r="W547">
        <v>50</v>
      </c>
      <c r="Y547">
        <f t="shared" si="53"/>
        <v>50</v>
      </c>
    </row>
    <row r="548" spans="1:25" ht="15.75" hidden="1" customHeight="1" x14ac:dyDescent="0.35">
      <c r="A548" s="3">
        <v>17442</v>
      </c>
      <c r="B548" s="3" t="s">
        <v>23</v>
      </c>
      <c r="C548" s="2">
        <v>46179</v>
      </c>
      <c r="D548" s="2">
        <v>46174</v>
      </c>
      <c r="E548" s="2">
        <v>46122</v>
      </c>
      <c r="F548" s="2">
        <v>46152</v>
      </c>
      <c r="G548" t="s">
        <v>654</v>
      </c>
      <c r="H548" t="s">
        <v>655</v>
      </c>
      <c r="I548" t="s">
        <v>26</v>
      </c>
      <c r="J548">
        <v>1655</v>
      </c>
      <c r="K548">
        <v>1664</v>
      </c>
      <c r="L548">
        <f t="shared" si="50"/>
        <v>9</v>
      </c>
      <c r="M548">
        <v>9</v>
      </c>
      <c r="N548">
        <f>IF(L548&lt;&gt;M548,1,0)</f>
        <v>0</v>
      </c>
      <c r="O548">
        <v>9</v>
      </c>
      <c r="S548">
        <v>3</v>
      </c>
      <c r="T548" s="3">
        <f t="shared" si="51"/>
        <v>12</v>
      </c>
      <c r="U548" s="3" t="str">
        <f t="shared" si="52"/>
        <v>USTED ESTÁ AL DÍA</v>
      </c>
      <c r="V548" s="3" t="s">
        <v>27</v>
      </c>
      <c r="Y548">
        <f t="shared" si="53"/>
        <v>12</v>
      </c>
    </row>
    <row r="549" spans="1:25" ht="15.75" hidden="1" customHeight="1" x14ac:dyDescent="0.35">
      <c r="A549" s="3">
        <v>17443</v>
      </c>
      <c r="B549" s="3" t="s">
        <v>23</v>
      </c>
      <c r="C549" s="2">
        <v>46179</v>
      </c>
      <c r="D549" s="2">
        <v>46174</v>
      </c>
      <c r="E549" s="2">
        <v>46122</v>
      </c>
      <c r="F549" s="2">
        <v>46152</v>
      </c>
      <c r="G549" t="s">
        <v>622</v>
      </c>
      <c r="H549" t="s">
        <v>655</v>
      </c>
      <c r="I549" t="s">
        <v>29</v>
      </c>
      <c r="J549">
        <v>32</v>
      </c>
      <c r="K549">
        <v>32</v>
      </c>
      <c r="L549">
        <f t="shared" si="50"/>
        <v>0</v>
      </c>
      <c r="M549">
        <v>5</v>
      </c>
      <c r="O549">
        <v>5</v>
      </c>
      <c r="S549">
        <v>3</v>
      </c>
      <c r="T549" s="3">
        <f t="shared" si="51"/>
        <v>8</v>
      </c>
      <c r="U549" s="3" t="str">
        <f t="shared" si="52"/>
        <v>USTED ESTÁ AL DÍA</v>
      </c>
      <c r="V549" s="3" t="s">
        <v>27</v>
      </c>
      <c r="Y549">
        <f t="shared" si="53"/>
        <v>8</v>
      </c>
    </row>
    <row r="550" spans="1:25" ht="15.75" hidden="1" customHeight="1" x14ac:dyDescent="0.35">
      <c r="A550" s="3">
        <v>17444</v>
      </c>
      <c r="B550" s="3" t="s">
        <v>23</v>
      </c>
      <c r="C550" s="2">
        <v>46179</v>
      </c>
      <c r="D550" s="2">
        <v>46174</v>
      </c>
      <c r="E550" s="2">
        <v>46122</v>
      </c>
      <c r="F550" s="2">
        <v>46152</v>
      </c>
      <c r="G550" t="s">
        <v>656</v>
      </c>
      <c r="H550" t="s">
        <v>655</v>
      </c>
      <c r="I550" t="s">
        <v>31</v>
      </c>
      <c r="J550">
        <v>75</v>
      </c>
      <c r="K550">
        <v>88</v>
      </c>
      <c r="L550">
        <f t="shared" si="50"/>
        <v>13</v>
      </c>
      <c r="M550">
        <v>13</v>
      </c>
      <c r="N550">
        <f>IF(L550&lt;&gt;M550,1,0)</f>
        <v>0</v>
      </c>
      <c r="O550">
        <v>13</v>
      </c>
      <c r="S550">
        <v>3</v>
      </c>
      <c r="T550" s="3">
        <f t="shared" si="51"/>
        <v>16</v>
      </c>
      <c r="U550" s="3" t="str">
        <f t="shared" si="52"/>
        <v>USTED ESTÁ AL DÍA</v>
      </c>
      <c r="V550" s="3" t="s">
        <v>27</v>
      </c>
      <c r="W550">
        <v>30</v>
      </c>
      <c r="X550">
        <v>50</v>
      </c>
      <c r="Y550">
        <f t="shared" si="53"/>
        <v>96</v>
      </c>
    </row>
    <row r="551" spans="1:25" ht="15.75" hidden="1" customHeight="1" x14ac:dyDescent="0.35">
      <c r="A551" s="3">
        <v>17445</v>
      </c>
      <c r="B551" s="3" t="s">
        <v>23</v>
      </c>
      <c r="C551" s="2">
        <v>46179</v>
      </c>
      <c r="D551" s="2">
        <v>46174</v>
      </c>
      <c r="E551" s="2">
        <v>46122</v>
      </c>
      <c r="F551" s="2">
        <v>46152</v>
      </c>
      <c r="G551" t="s">
        <v>657</v>
      </c>
      <c r="H551" t="s">
        <v>655</v>
      </c>
      <c r="I551" t="s">
        <v>35</v>
      </c>
      <c r="J551">
        <v>264</v>
      </c>
      <c r="K551">
        <v>264</v>
      </c>
      <c r="L551">
        <f t="shared" si="50"/>
        <v>0</v>
      </c>
      <c r="M551">
        <v>5</v>
      </c>
      <c r="O551">
        <v>5</v>
      </c>
      <c r="S551">
        <v>3</v>
      </c>
      <c r="T551" s="3">
        <f t="shared" si="51"/>
        <v>8</v>
      </c>
      <c r="U551" s="3" t="str">
        <f t="shared" si="52"/>
        <v>USTED ESTÁ AL DÍA</v>
      </c>
      <c r="V551" s="3" t="s">
        <v>27</v>
      </c>
      <c r="W551">
        <v>50</v>
      </c>
      <c r="X551">
        <v>50</v>
      </c>
      <c r="Y551">
        <f t="shared" si="53"/>
        <v>108</v>
      </c>
    </row>
    <row r="552" spans="1:25" ht="15.75" hidden="1" customHeight="1" x14ac:dyDescent="0.35">
      <c r="A552" s="3">
        <v>17446</v>
      </c>
      <c r="B552" s="3" t="s">
        <v>23</v>
      </c>
      <c r="C552" s="2">
        <v>46179</v>
      </c>
      <c r="D552" s="2">
        <v>46174</v>
      </c>
      <c r="E552" s="2">
        <v>46122</v>
      </c>
      <c r="F552" s="2">
        <v>46152</v>
      </c>
      <c r="G552" t="s">
        <v>658</v>
      </c>
      <c r="H552" t="s">
        <v>655</v>
      </c>
      <c r="I552" t="s">
        <v>37</v>
      </c>
      <c r="J552">
        <v>1385</v>
      </c>
      <c r="K552">
        <v>1404</v>
      </c>
      <c r="L552">
        <f t="shared" si="50"/>
        <v>19</v>
      </c>
      <c r="M552">
        <v>19</v>
      </c>
      <c r="N552">
        <f>IF(L552&lt;&gt;M552,1,0)</f>
        <v>0</v>
      </c>
      <c r="O552">
        <v>19</v>
      </c>
      <c r="P552">
        <v>27</v>
      </c>
      <c r="S552">
        <v>3</v>
      </c>
      <c r="T552" s="3">
        <f t="shared" si="51"/>
        <v>49</v>
      </c>
      <c r="U552" s="3" t="str">
        <f t="shared" si="52"/>
        <v>USTED NO ESTÁ AL DÍA</v>
      </c>
      <c r="V552" s="3" t="s">
        <v>27</v>
      </c>
      <c r="W552">
        <v>30</v>
      </c>
      <c r="X552">
        <v>50</v>
      </c>
      <c r="Y552">
        <f t="shared" si="53"/>
        <v>129</v>
      </c>
    </row>
    <row r="553" spans="1:25" ht="15.75" hidden="1" customHeight="1" x14ac:dyDescent="0.35">
      <c r="A553" s="3">
        <v>17447</v>
      </c>
      <c r="B553" s="3" t="s">
        <v>23</v>
      </c>
      <c r="C553" s="2">
        <v>46179</v>
      </c>
      <c r="D553" s="2">
        <v>46174</v>
      </c>
      <c r="E553" s="2">
        <v>46122</v>
      </c>
      <c r="F553" s="2">
        <v>46152</v>
      </c>
      <c r="G553" t="s">
        <v>659</v>
      </c>
      <c r="H553" t="s">
        <v>655</v>
      </c>
      <c r="I553" t="s">
        <v>41</v>
      </c>
      <c r="J553">
        <v>1191</v>
      </c>
      <c r="K553">
        <v>1203</v>
      </c>
      <c r="L553">
        <f t="shared" si="50"/>
        <v>12</v>
      </c>
      <c r="M553">
        <v>12</v>
      </c>
      <c r="N553">
        <f>IF(L553&lt;&gt;M553,1,0)</f>
        <v>0</v>
      </c>
      <c r="O553">
        <v>12</v>
      </c>
      <c r="S553">
        <v>3</v>
      </c>
      <c r="T553" s="3">
        <f t="shared" si="51"/>
        <v>15</v>
      </c>
      <c r="U553" s="3" t="str">
        <f t="shared" si="52"/>
        <v>USTED ESTÁ AL DÍA</v>
      </c>
      <c r="V553" s="3" t="s">
        <v>27</v>
      </c>
      <c r="X553">
        <v>50</v>
      </c>
      <c r="Y553">
        <f t="shared" si="53"/>
        <v>65</v>
      </c>
    </row>
    <row r="554" spans="1:25" ht="15.75" hidden="1" customHeight="1" x14ac:dyDescent="0.35">
      <c r="A554" s="3">
        <v>17448</v>
      </c>
      <c r="B554" s="3" t="s">
        <v>23</v>
      </c>
      <c r="C554" s="2">
        <v>46179</v>
      </c>
      <c r="D554" s="2">
        <v>46174</v>
      </c>
      <c r="E554" s="2">
        <v>46122</v>
      </c>
      <c r="F554" s="2">
        <v>46152</v>
      </c>
      <c r="G554" t="s">
        <v>660</v>
      </c>
      <c r="H554" t="s">
        <v>655</v>
      </c>
      <c r="I554" t="s">
        <v>43</v>
      </c>
      <c r="J554">
        <v>1006</v>
      </c>
      <c r="K554">
        <v>1014</v>
      </c>
      <c r="L554">
        <f t="shared" si="50"/>
        <v>8</v>
      </c>
      <c r="M554">
        <v>8</v>
      </c>
      <c r="N554">
        <f>IF(L554&lt;&gt;M554,1,0)</f>
        <v>0</v>
      </c>
      <c r="O554">
        <v>8</v>
      </c>
      <c r="S554">
        <v>3</v>
      </c>
      <c r="T554" s="3">
        <f t="shared" si="51"/>
        <v>11</v>
      </c>
      <c r="U554" s="3" t="str">
        <f t="shared" si="52"/>
        <v>USTED ESTÁ AL DÍA</v>
      </c>
      <c r="V554" s="3" t="s">
        <v>27</v>
      </c>
      <c r="Y554">
        <f t="shared" si="53"/>
        <v>11</v>
      </c>
    </row>
    <row r="555" spans="1:25" ht="15.75" hidden="1" customHeight="1" x14ac:dyDescent="0.35">
      <c r="A555" s="3">
        <v>17449</v>
      </c>
      <c r="B555" s="3" t="s">
        <v>23</v>
      </c>
      <c r="C555" s="2">
        <v>46179</v>
      </c>
      <c r="D555" s="2">
        <v>46174</v>
      </c>
      <c r="E555" s="2">
        <v>46122</v>
      </c>
      <c r="F555" s="2">
        <v>46152</v>
      </c>
      <c r="G555" t="s">
        <v>661</v>
      </c>
      <c r="H555" t="s">
        <v>655</v>
      </c>
      <c r="I555" t="s">
        <v>33</v>
      </c>
      <c r="L555">
        <f t="shared" si="50"/>
        <v>0</v>
      </c>
      <c r="S555">
        <v>0</v>
      </c>
      <c r="T555" s="3">
        <f t="shared" si="51"/>
        <v>0</v>
      </c>
      <c r="U555" s="3" t="str">
        <f t="shared" si="52"/>
        <v>USTED ESTÁ AL DÍA</v>
      </c>
      <c r="V555" s="3" t="s">
        <v>27</v>
      </c>
      <c r="W555">
        <v>50</v>
      </c>
      <c r="X555">
        <v>75</v>
      </c>
      <c r="Y555">
        <f t="shared" si="53"/>
        <v>125</v>
      </c>
    </row>
    <row r="556" spans="1:25" ht="15.75" hidden="1" customHeight="1" x14ac:dyDescent="0.35">
      <c r="A556" s="3">
        <v>17450</v>
      </c>
      <c r="B556" s="3" t="s">
        <v>23</v>
      </c>
      <c r="C556" s="2">
        <v>46179</v>
      </c>
      <c r="D556" s="2">
        <v>46174</v>
      </c>
      <c r="E556" s="2">
        <v>46122</v>
      </c>
      <c r="F556" s="2">
        <v>46152</v>
      </c>
      <c r="G556" t="s">
        <v>622</v>
      </c>
      <c r="H556" t="s">
        <v>655</v>
      </c>
      <c r="I556" t="s">
        <v>39</v>
      </c>
      <c r="L556">
        <f t="shared" si="50"/>
        <v>0</v>
      </c>
      <c r="S556">
        <v>0</v>
      </c>
      <c r="T556" s="3">
        <f t="shared" si="51"/>
        <v>0</v>
      </c>
      <c r="U556" s="3" t="str">
        <f t="shared" si="52"/>
        <v>USTED ESTÁ AL DÍA</v>
      </c>
      <c r="V556" s="3" t="s">
        <v>27</v>
      </c>
      <c r="Y556">
        <f t="shared" si="53"/>
        <v>0</v>
      </c>
    </row>
    <row r="557" spans="1:25" ht="15.75" hidden="1" customHeight="1" x14ac:dyDescent="0.35">
      <c r="A557" s="3">
        <v>17451</v>
      </c>
      <c r="B557" s="3" t="s">
        <v>23</v>
      </c>
      <c r="C557" s="2">
        <v>46179</v>
      </c>
      <c r="D557" s="2">
        <v>46174</v>
      </c>
      <c r="E557" s="2">
        <v>46122</v>
      </c>
      <c r="F557" s="2">
        <v>46152</v>
      </c>
      <c r="G557" t="s">
        <v>255</v>
      </c>
      <c r="H557" t="s">
        <v>662</v>
      </c>
      <c r="I557" t="s">
        <v>37</v>
      </c>
      <c r="J557">
        <v>0</v>
      </c>
      <c r="K557">
        <v>0</v>
      </c>
      <c r="L557">
        <f t="shared" si="50"/>
        <v>0</v>
      </c>
      <c r="M557">
        <v>5</v>
      </c>
      <c r="O557">
        <v>5</v>
      </c>
      <c r="P557">
        <v>22</v>
      </c>
      <c r="Q557">
        <v>40</v>
      </c>
      <c r="S557">
        <v>3</v>
      </c>
      <c r="T557" s="3">
        <f t="shared" si="51"/>
        <v>70</v>
      </c>
      <c r="U557" s="3" t="str">
        <f t="shared" si="52"/>
        <v>USTED NO ESTÁ AL DÍA</v>
      </c>
      <c r="V557" s="3" t="s">
        <v>27</v>
      </c>
      <c r="Y557">
        <f t="shared" si="53"/>
        <v>70</v>
      </c>
    </row>
    <row r="558" spans="1:25" ht="15.75" hidden="1" customHeight="1" x14ac:dyDescent="0.35">
      <c r="A558" s="3">
        <v>17452</v>
      </c>
      <c r="B558" s="3" t="s">
        <v>23</v>
      </c>
      <c r="C558" s="2">
        <v>46179</v>
      </c>
      <c r="D558" s="2">
        <v>46174</v>
      </c>
      <c r="E558" s="2">
        <v>46122</v>
      </c>
      <c r="F558" s="2">
        <v>46152</v>
      </c>
      <c r="G558" t="s">
        <v>663</v>
      </c>
      <c r="H558" t="s">
        <v>662</v>
      </c>
      <c r="I558" t="s">
        <v>41</v>
      </c>
      <c r="J558">
        <v>441</v>
      </c>
      <c r="K558">
        <v>453</v>
      </c>
      <c r="L558">
        <f t="shared" si="50"/>
        <v>12</v>
      </c>
      <c r="M558">
        <v>12</v>
      </c>
      <c r="N558">
        <f>IF(L558&lt;&gt;M558,1,0)</f>
        <v>0</v>
      </c>
      <c r="O558">
        <v>12</v>
      </c>
      <c r="P558">
        <v>16</v>
      </c>
      <c r="S558">
        <v>3</v>
      </c>
      <c r="T558" s="3">
        <f t="shared" si="51"/>
        <v>31</v>
      </c>
      <c r="U558" s="3" t="str">
        <f t="shared" si="52"/>
        <v>USTED NO ESTÁ AL DÍA</v>
      </c>
      <c r="V558" s="3" t="s">
        <v>27</v>
      </c>
      <c r="W558">
        <v>30</v>
      </c>
      <c r="Y558">
        <f t="shared" si="53"/>
        <v>61</v>
      </c>
    </row>
    <row r="559" spans="1:25" ht="15.75" hidden="1" customHeight="1" x14ac:dyDescent="0.35">
      <c r="A559" s="3">
        <v>17453</v>
      </c>
      <c r="B559" s="3" t="s">
        <v>23</v>
      </c>
      <c r="C559" s="2">
        <v>46179</v>
      </c>
      <c r="D559" s="2">
        <v>46174</v>
      </c>
      <c r="E559" s="2">
        <v>46122</v>
      </c>
      <c r="F559" s="2">
        <v>46152</v>
      </c>
      <c r="G559" t="s">
        <v>664</v>
      </c>
      <c r="H559" t="s">
        <v>662</v>
      </c>
      <c r="I559" t="s">
        <v>47</v>
      </c>
      <c r="J559">
        <v>1390</v>
      </c>
      <c r="K559">
        <v>1398</v>
      </c>
      <c r="L559">
        <f t="shared" si="50"/>
        <v>8</v>
      </c>
      <c r="M559">
        <v>8</v>
      </c>
      <c r="N559">
        <f>IF(L559&lt;&gt;M559,1,0)</f>
        <v>0</v>
      </c>
      <c r="O559">
        <v>8</v>
      </c>
      <c r="P559">
        <v>15</v>
      </c>
      <c r="S559">
        <v>3</v>
      </c>
      <c r="T559" s="3">
        <f t="shared" si="51"/>
        <v>26</v>
      </c>
      <c r="U559" s="3" t="str">
        <f t="shared" si="52"/>
        <v>USTED NO ESTÁ AL DÍA</v>
      </c>
      <c r="V559" s="3" t="s">
        <v>27</v>
      </c>
      <c r="W559">
        <v>30</v>
      </c>
      <c r="Y559">
        <f t="shared" si="53"/>
        <v>56</v>
      </c>
    </row>
    <row r="560" spans="1:25" ht="15.75" hidden="1" customHeight="1" x14ac:dyDescent="0.35">
      <c r="A560" s="3">
        <v>17454</v>
      </c>
      <c r="B560" s="3" t="s">
        <v>23</v>
      </c>
      <c r="C560" s="2">
        <v>46179</v>
      </c>
      <c r="D560" s="2">
        <v>46174</v>
      </c>
      <c r="E560" s="2">
        <v>46122</v>
      </c>
      <c r="F560" s="2">
        <v>46152</v>
      </c>
      <c r="G560" t="s">
        <v>665</v>
      </c>
      <c r="H560" t="s">
        <v>662</v>
      </c>
      <c r="I560" t="s">
        <v>66</v>
      </c>
      <c r="J560">
        <v>85</v>
      </c>
      <c r="K560">
        <v>88</v>
      </c>
      <c r="L560">
        <f t="shared" si="50"/>
        <v>3</v>
      </c>
      <c r="M560">
        <v>5</v>
      </c>
      <c r="O560">
        <v>5</v>
      </c>
      <c r="P560">
        <v>8</v>
      </c>
      <c r="S560">
        <v>3</v>
      </c>
      <c r="T560" s="3">
        <f t="shared" si="51"/>
        <v>16</v>
      </c>
      <c r="U560" s="3" t="str">
        <f t="shared" si="52"/>
        <v>USTED NO ESTÁ AL DÍA</v>
      </c>
      <c r="V560" s="3" t="s">
        <v>27</v>
      </c>
      <c r="W560">
        <v>80</v>
      </c>
      <c r="X560">
        <v>50</v>
      </c>
      <c r="Y560">
        <f t="shared" si="53"/>
        <v>146</v>
      </c>
    </row>
    <row r="561" spans="1:25" ht="15.75" hidden="1" customHeight="1" x14ac:dyDescent="0.35">
      <c r="A561" s="3">
        <v>17455</v>
      </c>
      <c r="B561" s="3" t="s">
        <v>23</v>
      </c>
      <c r="C561" s="2">
        <v>46179</v>
      </c>
      <c r="D561" s="2">
        <v>46174</v>
      </c>
      <c r="E561" s="2">
        <v>46122</v>
      </c>
      <c r="F561" s="2">
        <v>46152</v>
      </c>
      <c r="G561" t="s">
        <v>666</v>
      </c>
      <c r="H561" t="s">
        <v>662</v>
      </c>
      <c r="I561" t="s">
        <v>97</v>
      </c>
      <c r="J561">
        <v>1192</v>
      </c>
      <c r="K561">
        <v>1201</v>
      </c>
      <c r="L561">
        <f t="shared" si="50"/>
        <v>9</v>
      </c>
      <c r="M561">
        <v>9</v>
      </c>
      <c r="N561">
        <f>IF(L561&lt;&gt;M561,1,0)</f>
        <v>0</v>
      </c>
      <c r="O561">
        <v>9</v>
      </c>
      <c r="P561">
        <v>13</v>
      </c>
      <c r="S561">
        <v>3</v>
      </c>
      <c r="T561" s="3">
        <f t="shared" si="51"/>
        <v>25</v>
      </c>
      <c r="U561" s="3" t="str">
        <f t="shared" si="52"/>
        <v>USTED NO ESTÁ AL DÍA</v>
      </c>
      <c r="V561" s="3" t="s">
        <v>27</v>
      </c>
      <c r="W561">
        <v>20</v>
      </c>
      <c r="X561">
        <v>50</v>
      </c>
      <c r="Y561">
        <f t="shared" si="53"/>
        <v>95</v>
      </c>
    </row>
    <row r="562" spans="1:25" ht="15.75" hidden="1" customHeight="1" x14ac:dyDescent="0.35">
      <c r="A562" s="3">
        <v>17456</v>
      </c>
      <c r="B562" s="3" t="s">
        <v>23</v>
      </c>
      <c r="C562" s="2">
        <v>46179</v>
      </c>
      <c r="D562" s="2">
        <v>46174</v>
      </c>
      <c r="E562" s="2">
        <v>46122</v>
      </c>
      <c r="F562" s="2">
        <v>46152</v>
      </c>
      <c r="G562" t="s">
        <v>667</v>
      </c>
      <c r="H562" t="s">
        <v>662</v>
      </c>
      <c r="I562" t="s">
        <v>101</v>
      </c>
      <c r="J562">
        <v>1522</v>
      </c>
      <c r="K562">
        <v>1528</v>
      </c>
      <c r="L562">
        <f t="shared" si="50"/>
        <v>6</v>
      </c>
      <c r="M562">
        <v>6</v>
      </c>
      <c r="N562">
        <f>IF(L562&lt;&gt;M562,1,0)</f>
        <v>0</v>
      </c>
      <c r="O562">
        <v>6</v>
      </c>
      <c r="P562">
        <v>10</v>
      </c>
      <c r="S562">
        <v>3</v>
      </c>
      <c r="T562" s="3">
        <f t="shared" si="51"/>
        <v>19</v>
      </c>
      <c r="U562" s="3" t="str">
        <f t="shared" si="52"/>
        <v>USTED NO ESTÁ AL DÍA</v>
      </c>
      <c r="V562" s="3" t="s">
        <v>27</v>
      </c>
      <c r="W562">
        <v>30</v>
      </c>
      <c r="X562">
        <v>50</v>
      </c>
      <c r="Y562">
        <f t="shared" si="53"/>
        <v>99</v>
      </c>
    </row>
    <row r="563" spans="1:25" ht="15.75" hidden="1" customHeight="1" x14ac:dyDescent="0.35">
      <c r="A563" s="3">
        <v>17457</v>
      </c>
      <c r="B563" s="3" t="s">
        <v>23</v>
      </c>
      <c r="C563" s="2">
        <v>46179</v>
      </c>
      <c r="D563" s="2">
        <v>46174</v>
      </c>
      <c r="E563" s="2">
        <v>46122</v>
      </c>
      <c r="F563" s="2">
        <v>46152</v>
      </c>
      <c r="G563" t="s">
        <v>668</v>
      </c>
      <c r="H563" t="s">
        <v>662</v>
      </c>
      <c r="I563" t="s">
        <v>93</v>
      </c>
      <c r="J563">
        <v>2039</v>
      </c>
      <c r="K563">
        <v>2069</v>
      </c>
      <c r="L563">
        <f t="shared" si="50"/>
        <v>30</v>
      </c>
      <c r="M563">
        <v>30</v>
      </c>
      <c r="N563">
        <f>IF(L563&lt;&gt;M563,1,0)</f>
        <v>0</v>
      </c>
      <c r="O563">
        <v>30</v>
      </c>
      <c r="P563">
        <v>41</v>
      </c>
      <c r="S563">
        <v>3</v>
      </c>
      <c r="T563" s="3">
        <f t="shared" si="51"/>
        <v>74</v>
      </c>
      <c r="U563" s="3" t="str">
        <f t="shared" si="52"/>
        <v>USTED NO ESTÁ AL DÍA</v>
      </c>
      <c r="V563" s="3" t="s">
        <v>27</v>
      </c>
      <c r="X563">
        <v>50</v>
      </c>
      <c r="Y563">
        <f t="shared" si="53"/>
        <v>124</v>
      </c>
    </row>
    <row r="564" spans="1:25" ht="15.75" hidden="1" customHeight="1" x14ac:dyDescent="0.35">
      <c r="A564" s="3">
        <v>17458</v>
      </c>
      <c r="B564" s="3" t="s">
        <v>23</v>
      </c>
      <c r="C564" s="2">
        <v>46179</v>
      </c>
      <c r="D564" s="2">
        <v>46174</v>
      </c>
      <c r="E564" s="2">
        <v>46122</v>
      </c>
      <c r="F564" s="2">
        <v>46152</v>
      </c>
      <c r="G564" t="s">
        <v>669</v>
      </c>
      <c r="H564" t="s">
        <v>662</v>
      </c>
      <c r="I564" t="s">
        <v>29</v>
      </c>
      <c r="J564">
        <v>1565</v>
      </c>
      <c r="K564">
        <v>1573</v>
      </c>
      <c r="L564">
        <f t="shared" si="50"/>
        <v>8</v>
      </c>
      <c r="M564">
        <v>8</v>
      </c>
      <c r="N564">
        <f>IF(L564&lt;&gt;M564,1,0)</f>
        <v>0</v>
      </c>
      <c r="O564">
        <v>8</v>
      </c>
      <c r="S564">
        <v>3</v>
      </c>
      <c r="T564" s="3">
        <f t="shared" si="51"/>
        <v>11</v>
      </c>
      <c r="U564" s="3" t="str">
        <f t="shared" si="52"/>
        <v>USTED ESTÁ AL DÍA</v>
      </c>
      <c r="V564" s="3" t="s">
        <v>27</v>
      </c>
      <c r="X564">
        <v>50</v>
      </c>
      <c r="Y564">
        <f t="shared" si="53"/>
        <v>61</v>
      </c>
    </row>
    <row r="565" spans="1:25" ht="15.75" hidden="1" customHeight="1" x14ac:dyDescent="0.35">
      <c r="A565" s="3">
        <v>17459</v>
      </c>
      <c r="B565" s="3" t="s">
        <v>23</v>
      </c>
      <c r="C565" s="2">
        <v>46179</v>
      </c>
      <c r="D565" s="2">
        <v>46174</v>
      </c>
      <c r="E565" s="2">
        <v>46122</v>
      </c>
      <c r="F565" s="2">
        <v>46152</v>
      </c>
      <c r="G565" t="s">
        <v>670</v>
      </c>
      <c r="H565" t="s">
        <v>662</v>
      </c>
      <c r="I565" t="s">
        <v>31</v>
      </c>
      <c r="J565">
        <v>488</v>
      </c>
      <c r="K565">
        <v>497</v>
      </c>
      <c r="L565">
        <f t="shared" si="50"/>
        <v>9</v>
      </c>
      <c r="M565">
        <v>9</v>
      </c>
      <c r="N565">
        <f>IF(L565&lt;&gt;M565,1,0)</f>
        <v>0</v>
      </c>
      <c r="O565">
        <v>9</v>
      </c>
      <c r="S565">
        <v>3</v>
      </c>
      <c r="T565" s="3">
        <f t="shared" si="51"/>
        <v>12</v>
      </c>
      <c r="U565" s="3" t="str">
        <f t="shared" si="52"/>
        <v>USTED ESTÁ AL DÍA</v>
      </c>
      <c r="V565" s="3" t="s">
        <v>27</v>
      </c>
      <c r="W565">
        <v>50</v>
      </c>
      <c r="X565">
        <v>75</v>
      </c>
      <c r="Y565">
        <f t="shared" si="53"/>
        <v>137</v>
      </c>
    </row>
    <row r="566" spans="1:25" ht="15.75" hidden="1" customHeight="1" x14ac:dyDescent="0.35">
      <c r="A566" s="3">
        <v>17460</v>
      </c>
      <c r="B566" s="3" t="s">
        <v>23</v>
      </c>
      <c r="C566" s="2">
        <v>46179</v>
      </c>
      <c r="D566" s="2">
        <v>46174</v>
      </c>
      <c r="E566" s="2">
        <v>46122</v>
      </c>
      <c r="F566" s="2">
        <v>46152</v>
      </c>
      <c r="G566" t="s">
        <v>671</v>
      </c>
      <c r="H566" t="s">
        <v>662</v>
      </c>
      <c r="I566" t="s">
        <v>33</v>
      </c>
      <c r="J566">
        <v>1983</v>
      </c>
      <c r="K566">
        <v>1988</v>
      </c>
      <c r="L566">
        <f t="shared" si="50"/>
        <v>5</v>
      </c>
      <c r="M566">
        <v>5</v>
      </c>
      <c r="O566">
        <v>5</v>
      </c>
      <c r="S566">
        <v>3</v>
      </c>
      <c r="T566" s="3">
        <f t="shared" si="51"/>
        <v>8</v>
      </c>
      <c r="U566" s="3" t="str">
        <f t="shared" si="52"/>
        <v>USTED ESTÁ AL DÍA</v>
      </c>
      <c r="V566" s="3" t="s">
        <v>27</v>
      </c>
      <c r="W566">
        <v>50</v>
      </c>
      <c r="X566">
        <v>50</v>
      </c>
      <c r="Y566">
        <f t="shared" si="53"/>
        <v>108</v>
      </c>
    </row>
    <row r="567" spans="1:25" ht="15.75" hidden="1" customHeight="1" x14ac:dyDescent="0.35">
      <c r="A567" s="3">
        <v>17461</v>
      </c>
      <c r="B567" s="3" t="s">
        <v>23</v>
      </c>
      <c r="C567" s="2">
        <v>46179</v>
      </c>
      <c r="D567" s="2">
        <v>46174</v>
      </c>
      <c r="E567" s="2">
        <v>46122</v>
      </c>
      <c r="F567" s="2">
        <v>46152</v>
      </c>
      <c r="G567" t="s">
        <v>672</v>
      </c>
      <c r="H567" t="s">
        <v>662</v>
      </c>
      <c r="I567" t="s">
        <v>35</v>
      </c>
      <c r="J567">
        <v>15</v>
      </c>
      <c r="K567">
        <v>15</v>
      </c>
      <c r="L567">
        <f t="shared" si="50"/>
        <v>0</v>
      </c>
      <c r="M567">
        <v>5</v>
      </c>
      <c r="O567">
        <v>5</v>
      </c>
      <c r="S567">
        <v>3</v>
      </c>
      <c r="T567" s="3">
        <f t="shared" si="51"/>
        <v>8</v>
      </c>
      <c r="U567" s="3" t="str">
        <f t="shared" si="52"/>
        <v>USTED ESTÁ AL DÍA</v>
      </c>
      <c r="V567" s="3" t="s">
        <v>27</v>
      </c>
      <c r="W567">
        <v>50</v>
      </c>
      <c r="X567">
        <v>75</v>
      </c>
      <c r="Y567">
        <f t="shared" si="53"/>
        <v>133</v>
      </c>
    </row>
    <row r="568" spans="1:25" ht="15.75" hidden="1" customHeight="1" x14ac:dyDescent="0.35">
      <c r="A568" s="3">
        <v>17462</v>
      </c>
      <c r="B568" s="3" t="s">
        <v>23</v>
      </c>
      <c r="C568" s="2">
        <v>46179</v>
      </c>
      <c r="D568" s="2">
        <v>46174</v>
      </c>
      <c r="E568" s="2">
        <v>46122</v>
      </c>
      <c r="F568" s="2">
        <v>46152</v>
      </c>
      <c r="G568" t="s">
        <v>673</v>
      </c>
      <c r="H568" t="s">
        <v>662</v>
      </c>
      <c r="I568" t="s">
        <v>39</v>
      </c>
      <c r="J568">
        <v>1000</v>
      </c>
      <c r="K568">
        <v>1005</v>
      </c>
      <c r="L568">
        <f t="shared" si="50"/>
        <v>5</v>
      </c>
      <c r="M568">
        <v>5</v>
      </c>
      <c r="O568">
        <v>5</v>
      </c>
      <c r="S568">
        <v>3</v>
      </c>
      <c r="T568" s="3">
        <f t="shared" si="51"/>
        <v>8</v>
      </c>
      <c r="U568" s="3" t="str">
        <f t="shared" si="52"/>
        <v>USTED ESTÁ AL DÍA</v>
      </c>
      <c r="V568" s="3" t="s">
        <v>27</v>
      </c>
      <c r="W568">
        <v>30</v>
      </c>
      <c r="Y568">
        <f t="shared" si="53"/>
        <v>38</v>
      </c>
    </row>
    <row r="569" spans="1:25" ht="15.75" hidden="1" customHeight="1" x14ac:dyDescent="0.35">
      <c r="A569" s="3">
        <v>17463</v>
      </c>
      <c r="B569" s="3" t="s">
        <v>23</v>
      </c>
      <c r="C569" s="2">
        <v>46179</v>
      </c>
      <c r="D569" s="2">
        <v>46174</v>
      </c>
      <c r="E569" s="2">
        <v>46122</v>
      </c>
      <c r="F569" s="2">
        <v>46152</v>
      </c>
      <c r="G569" t="s">
        <v>674</v>
      </c>
      <c r="H569" t="s">
        <v>662</v>
      </c>
      <c r="I569" t="s">
        <v>43</v>
      </c>
      <c r="J569">
        <v>504</v>
      </c>
      <c r="K569">
        <v>510</v>
      </c>
      <c r="L569">
        <f t="shared" si="50"/>
        <v>6</v>
      </c>
      <c r="M569">
        <v>6</v>
      </c>
      <c r="N569">
        <f>IF(L569&lt;&gt;M569,1,0)</f>
        <v>0</v>
      </c>
      <c r="O569">
        <v>6</v>
      </c>
      <c r="S569">
        <v>3</v>
      </c>
      <c r="T569" s="3">
        <f t="shared" si="51"/>
        <v>9</v>
      </c>
      <c r="U569" s="3" t="str">
        <f t="shared" si="52"/>
        <v>USTED ESTÁ AL DÍA</v>
      </c>
      <c r="V569" s="3" t="s">
        <v>27</v>
      </c>
      <c r="Y569">
        <f t="shared" si="53"/>
        <v>9</v>
      </c>
    </row>
    <row r="570" spans="1:25" ht="15.75" hidden="1" customHeight="1" x14ac:dyDescent="0.35">
      <c r="A570" s="3">
        <v>17464</v>
      </c>
      <c r="B570" s="3" t="s">
        <v>23</v>
      </c>
      <c r="C570" s="2">
        <v>46179</v>
      </c>
      <c r="D570" s="2">
        <v>46174</v>
      </c>
      <c r="E570" s="2">
        <v>46122</v>
      </c>
      <c r="F570" s="2">
        <v>46152</v>
      </c>
      <c r="G570" t="s">
        <v>675</v>
      </c>
      <c r="H570" t="s">
        <v>662</v>
      </c>
      <c r="I570" t="s">
        <v>68</v>
      </c>
      <c r="J570">
        <v>583</v>
      </c>
      <c r="K570">
        <v>585</v>
      </c>
      <c r="L570">
        <f t="shared" si="50"/>
        <v>2</v>
      </c>
      <c r="M570">
        <v>5</v>
      </c>
      <c r="O570">
        <v>5</v>
      </c>
      <c r="Q570">
        <v>40</v>
      </c>
      <c r="S570">
        <v>3</v>
      </c>
      <c r="T570" s="3">
        <f t="shared" si="51"/>
        <v>48</v>
      </c>
      <c r="U570" s="3" t="str">
        <f t="shared" si="52"/>
        <v>USTED ESTÁ AL DÍA</v>
      </c>
      <c r="V570" s="3" t="s">
        <v>27</v>
      </c>
      <c r="W570">
        <v>30</v>
      </c>
      <c r="X570">
        <v>75</v>
      </c>
      <c r="Y570">
        <f t="shared" si="53"/>
        <v>153</v>
      </c>
    </row>
    <row r="571" spans="1:25" ht="15.75" hidden="1" customHeight="1" x14ac:dyDescent="0.35">
      <c r="A571" s="3">
        <v>17465</v>
      </c>
      <c r="B571" s="3" t="s">
        <v>23</v>
      </c>
      <c r="C571" s="2">
        <v>46179</v>
      </c>
      <c r="D571" s="2">
        <v>46174</v>
      </c>
      <c r="E571" s="2">
        <v>46122</v>
      </c>
      <c r="F571" s="2">
        <v>46152</v>
      </c>
      <c r="G571" t="s">
        <v>676</v>
      </c>
      <c r="H571" t="s">
        <v>662</v>
      </c>
      <c r="I571" t="s">
        <v>79</v>
      </c>
      <c r="J571">
        <v>1944</v>
      </c>
      <c r="K571">
        <v>1945</v>
      </c>
      <c r="L571">
        <f t="shared" si="50"/>
        <v>1</v>
      </c>
      <c r="M571">
        <v>5</v>
      </c>
      <c r="O571">
        <v>5</v>
      </c>
      <c r="S571">
        <v>3</v>
      </c>
      <c r="T571" s="3">
        <f t="shared" si="51"/>
        <v>8</v>
      </c>
      <c r="U571" s="3" t="str">
        <f t="shared" si="52"/>
        <v>USTED ESTÁ AL DÍA</v>
      </c>
      <c r="V571" s="3" t="s">
        <v>27</v>
      </c>
      <c r="Y571">
        <f t="shared" si="53"/>
        <v>8</v>
      </c>
    </row>
    <row r="572" spans="1:25" ht="15.75" hidden="1" customHeight="1" x14ac:dyDescent="0.35">
      <c r="A572" s="3">
        <v>17466</v>
      </c>
      <c r="B572" s="3" t="s">
        <v>23</v>
      </c>
      <c r="C572" s="2">
        <v>46179</v>
      </c>
      <c r="D572" s="2">
        <v>46174</v>
      </c>
      <c r="E572" s="2">
        <v>46122</v>
      </c>
      <c r="F572" s="2">
        <v>46152</v>
      </c>
      <c r="G572" t="s">
        <v>677</v>
      </c>
      <c r="H572" t="s">
        <v>662</v>
      </c>
      <c r="I572" t="s">
        <v>95</v>
      </c>
      <c r="J572">
        <v>279</v>
      </c>
      <c r="K572">
        <v>295</v>
      </c>
      <c r="L572">
        <f t="shared" si="50"/>
        <v>16</v>
      </c>
      <c r="M572">
        <v>16</v>
      </c>
      <c r="N572">
        <f>IF(L572&lt;&gt;M572,1,0)</f>
        <v>0</v>
      </c>
      <c r="O572">
        <v>16</v>
      </c>
      <c r="S572">
        <v>3</v>
      </c>
      <c r="T572" s="3">
        <f t="shared" si="51"/>
        <v>19</v>
      </c>
      <c r="U572" s="3" t="str">
        <f t="shared" si="52"/>
        <v>USTED ESTÁ AL DÍA</v>
      </c>
      <c r="V572" s="3" t="s">
        <v>27</v>
      </c>
      <c r="Y572">
        <f t="shared" si="53"/>
        <v>19</v>
      </c>
    </row>
    <row r="573" spans="1:25" ht="15.75" hidden="1" customHeight="1" x14ac:dyDescent="0.35">
      <c r="A573" s="3">
        <v>17467</v>
      </c>
      <c r="B573" s="3" t="s">
        <v>23</v>
      </c>
      <c r="C573" s="2">
        <v>46179</v>
      </c>
      <c r="D573" s="2">
        <v>46174</v>
      </c>
      <c r="E573" s="2">
        <v>46122</v>
      </c>
      <c r="F573" s="2">
        <v>46152</v>
      </c>
      <c r="G573" t="s">
        <v>678</v>
      </c>
      <c r="H573" t="s">
        <v>662</v>
      </c>
      <c r="I573" t="s">
        <v>26</v>
      </c>
      <c r="L573">
        <f t="shared" si="50"/>
        <v>0</v>
      </c>
      <c r="S573">
        <v>0</v>
      </c>
      <c r="T573" s="3">
        <f t="shared" si="51"/>
        <v>0</v>
      </c>
      <c r="U573" s="3" t="str">
        <f t="shared" si="52"/>
        <v>USTED ESTÁ AL DÍA</v>
      </c>
      <c r="V573" s="3" t="s">
        <v>27</v>
      </c>
      <c r="W573">
        <v>30</v>
      </c>
      <c r="Y573">
        <f t="shared" si="53"/>
        <v>30</v>
      </c>
    </row>
    <row r="574" spans="1:25" ht="15.75" hidden="1" customHeight="1" x14ac:dyDescent="0.35">
      <c r="A574" s="3">
        <v>17468</v>
      </c>
      <c r="B574" s="3" t="s">
        <v>23</v>
      </c>
      <c r="C574" s="2">
        <v>46179</v>
      </c>
      <c r="D574" s="2">
        <v>46174</v>
      </c>
      <c r="E574" s="2">
        <v>46122</v>
      </c>
      <c r="F574" s="2">
        <v>46152</v>
      </c>
      <c r="G574" t="s">
        <v>679</v>
      </c>
      <c r="H574" t="s">
        <v>662</v>
      </c>
      <c r="I574" t="s">
        <v>45</v>
      </c>
      <c r="L574">
        <f t="shared" si="50"/>
        <v>0</v>
      </c>
      <c r="S574">
        <v>0</v>
      </c>
      <c r="T574" s="3">
        <f t="shared" si="51"/>
        <v>0</v>
      </c>
      <c r="U574" s="3" t="str">
        <f t="shared" si="52"/>
        <v>USTED ESTÁ AL DÍA</v>
      </c>
      <c r="V574" s="3" t="s">
        <v>27</v>
      </c>
      <c r="W574">
        <v>50</v>
      </c>
      <c r="X574">
        <v>75</v>
      </c>
      <c r="Y574">
        <f t="shared" si="53"/>
        <v>125</v>
      </c>
    </row>
    <row r="575" spans="1:25" ht="15.75" hidden="1" customHeight="1" x14ac:dyDescent="0.35">
      <c r="A575" s="3">
        <v>17469</v>
      </c>
      <c r="B575" s="3" t="s">
        <v>23</v>
      </c>
      <c r="C575" s="2">
        <v>46179</v>
      </c>
      <c r="D575" s="2">
        <v>46174</v>
      </c>
      <c r="E575" s="2">
        <v>46122</v>
      </c>
      <c r="F575" s="2">
        <v>46152</v>
      </c>
      <c r="G575" t="s">
        <v>680</v>
      </c>
      <c r="H575" t="s">
        <v>662</v>
      </c>
      <c r="I575" t="s">
        <v>91</v>
      </c>
      <c r="L575">
        <f t="shared" si="50"/>
        <v>0</v>
      </c>
      <c r="S575">
        <v>0</v>
      </c>
      <c r="T575" s="3">
        <f t="shared" si="51"/>
        <v>0</v>
      </c>
      <c r="U575" s="3" t="str">
        <f t="shared" si="52"/>
        <v>USTED ESTÁ AL DÍA</v>
      </c>
      <c r="V575" s="3" t="s">
        <v>27</v>
      </c>
      <c r="W575">
        <v>50</v>
      </c>
      <c r="X575">
        <v>50</v>
      </c>
      <c r="Y575">
        <f t="shared" si="53"/>
        <v>100</v>
      </c>
    </row>
    <row r="576" spans="1:25" ht="14.5" customHeight="1" x14ac:dyDescent="0.35">
      <c r="A576">
        <v>17470</v>
      </c>
      <c r="B576" t="s">
        <v>23</v>
      </c>
      <c r="C576" s="2">
        <v>46179</v>
      </c>
      <c r="D576" s="2">
        <v>46174</v>
      </c>
      <c r="E576" s="2">
        <v>46122</v>
      </c>
      <c r="F576" s="2">
        <v>46152</v>
      </c>
      <c r="G576" t="s">
        <v>614</v>
      </c>
      <c r="H576" t="s">
        <v>188</v>
      </c>
      <c r="I576" t="s">
        <v>79</v>
      </c>
      <c r="J576">
        <v>0</v>
      </c>
      <c r="K576">
        <v>5</v>
      </c>
      <c r="L576">
        <v>0</v>
      </c>
      <c r="M576">
        <v>5</v>
      </c>
      <c r="O576">
        <v>5</v>
      </c>
      <c r="P576">
        <v>0</v>
      </c>
      <c r="S576">
        <v>3</v>
      </c>
      <c r="T576">
        <v>8</v>
      </c>
      <c r="U576" t="s">
        <v>681</v>
      </c>
      <c r="V576" t="s">
        <v>27</v>
      </c>
      <c r="W576">
        <v>30</v>
      </c>
      <c r="X576">
        <v>75</v>
      </c>
      <c r="Y576">
        <v>113</v>
      </c>
    </row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</sheetData>
  <autoFilter ref="A1:Y576" xr:uid="{00000000-0009-0000-0000-000000000000}">
    <filterColumn colId="7">
      <filters>
        <filter val="C1"/>
      </filters>
    </filterColumn>
    <filterColumn colId="15">
      <filters blank="1"/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Ronald Trujillo Cruz</dc:creator>
  <cp:lastModifiedBy>wilder trujillo rosales</cp:lastModifiedBy>
  <dcterms:created xsi:type="dcterms:W3CDTF">2024-06-21T12:28:49Z</dcterms:created>
  <dcterms:modified xsi:type="dcterms:W3CDTF">2026-06-13T16:42:13Z</dcterms:modified>
</cp:coreProperties>
</file>