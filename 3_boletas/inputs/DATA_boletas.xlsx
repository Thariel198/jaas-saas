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Data" sheetId="1" state="visible" r:id="rId1"/>
  </sheets>
  <definedNames>
    <definedName name="_xlnm._FilterDatabase" localSheetId="0" hidden="1">'Data'!$A$1:$Y$576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4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1" fillId="0" borderId="1"/>
  </cellStyleXfs>
  <cellXfs count="5">
    <xf numFmtId="0" fontId="0" fillId="0" borderId="0" pivotButton="0" quotePrefix="0" xfId="0"/>
    <xf numFmtId="0" fontId="1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576"/>
  <sheetViews>
    <sheetView tabSelected="1" topLeftCell="E1" zoomScale="80" zoomScaleNormal="80" workbookViewId="0">
      <selection activeCell="L590" sqref="L590"/>
    </sheetView>
  </sheetViews>
  <sheetFormatPr baseColWidth="10" defaultColWidth="14.453125" defaultRowHeight="15" customHeight="1"/>
  <cols>
    <col width="19.81640625" customWidth="1" style="4" min="1" max="1"/>
    <col width="23.08984375" customWidth="1" style="4" min="2" max="2"/>
    <col width="22.7265625" customWidth="1" style="4" min="3" max="3"/>
    <col width="17.7265625" customWidth="1" style="4" min="4" max="4"/>
    <col width="18.26953125" customWidth="1" style="4" min="5" max="5"/>
    <col width="16.08984375" customWidth="1" style="4" min="6" max="6"/>
    <col width="43.81640625" customWidth="1" style="4" min="7" max="7"/>
    <col width="3.7265625" customWidth="1" style="4" min="8" max="8"/>
    <col width="4.26953125" customWidth="1" style="4" min="9" max="9"/>
    <col width="17.7265625" customWidth="1" style="4" min="10" max="10"/>
    <col width="16" customWidth="1" style="4" min="11" max="12"/>
    <col width="4" customWidth="1" style="4" min="13" max="13"/>
    <col width="14.54296875" customWidth="1" style="4" min="14" max="14"/>
    <col width="15.26953125" customWidth="1" style="4" min="15" max="15"/>
    <col width="14.08984375" customWidth="1" style="4" min="16" max="16"/>
    <col width="17.81640625" customWidth="1" style="4" min="17" max="17"/>
    <col width="9.453125" customWidth="1" style="4" min="18" max="18"/>
    <col width="6.08984375" customWidth="1" style="4" min="19" max="19"/>
    <col width="9.453125" customWidth="1" style="4" min="20" max="20"/>
    <col width="20.81640625" customWidth="1" style="4" min="21" max="21"/>
    <col width="74.453125" customWidth="1" style="4" min="22" max="22"/>
    <col width="13.6328125" customWidth="1" style="4" min="23" max="23"/>
    <col width="13.81640625" customWidth="1" style="4" min="24" max="24"/>
    <col width="16.7265625" customWidth="1" style="4" min="25" max="25"/>
    <col width="10.7265625" customWidth="1" style="4" min="26" max="28"/>
  </cols>
  <sheetData>
    <row r="1" ht="14.5" customHeight="1" s="4">
      <c r="A1" s="1" t="inlineStr">
        <is>
          <t>NUMERO DE RECIBO</t>
        </is>
      </c>
      <c r="B1" s="3" t="inlineStr">
        <is>
          <t>PERIODO</t>
        </is>
      </c>
      <c r="C1" s="3" t="inlineStr">
        <is>
          <t>FECHA DE VENCIMIENTO</t>
        </is>
      </c>
      <c r="D1" s="3" t="inlineStr">
        <is>
          <t>FECHA DE EMISIÓN</t>
        </is>
      </c>
      <c r="E1" s="3" t="inlineStr">
        <is>
          <t>LECTURA ANTERIOR</t>
        </is>
      </c>
      <c r="F1" s="3" t="inlineStr">
        <is>
          <t>LECTURA ACTUAL</t>
        </is>
      </c>
      <c r="G1" s="3" t="inlineStr">
        <is>
          <t>NOMBRES</t>
        </is>
      </c>
      <c r="H1" s="3" t="inlineStr">
        <is>
          <t>MZ</t>
        </is>
      </c>
      <c r="I1" s="3" t="inlineStr">
        <is>
          <t>LT</t>
        </is>
      </c>
      <c r="J1" s="3" t="inlineStr">
        <is>
          <t>Marcación anterior</t>
        </is>
      </c>
      <c r="K1" s="1" t="inlineStr">
        <is>
          <t>Marcacion altual</t>
        </is>
      </c>
      <c r="L1" s="1" t="n"/>
      <c r="M1" s="3" t="inlineStr">
        <is>
          <t>M3</t>
        </is>
      </c>
      <c r="N1" s="3" t="n"/>
      <c r="O1" s="3" t="inlineStr">
        <is>
          <t>Total mes actual</t>
        </is>
      </c>
      <c r="P1" s="3" t="inlineStr">
        <is>
          <t>MES ANTERIOR</t>
        </is>
      </c>
      <c r="Q1" s="3" t="inlineStr">
        <is>
          <t>Corte y reconexion</t>
        </is>
      </c>
      <c r="R1" s="3" t="inlineStr">
        <is>
          <t>Convenio</t>
        </is>
      </c>
      <c r="S1" s="3" t="inlineStr">
        <is>
          <t>Mantenimiento</t>
        </is>
      </c>
      <c r="T1" s="3" t="inlineStr">
        <is>
          <t>Total</t>
        </is>
      </c>
      <c r="U1" s="3" t="inlineStr">
        <is>
          <t>Estado</t>
        </is>
      </c>
      <c r="V1" s="3" t="inlineStr">
        <is>
          <t>fecha pago</t>
        </is>
      </c>
      <c r="W1" s="3" t="inlineStr">
        <is>
          <t>Multa (faena + reunión)</t>
        </is>
      </c>
      <c r="X1" s="3" t="inlineStr">
        <is>
          <t>Cuota directa</t>
        </is>
      </c>
      <c r="Y1" s="3" t="inlineStr">
        <is>
          <t>Importe a pagar</t>
        </is>
      </c>
    </row>
    <row r="2" hidden="1" ht="14.5" customHeight="1" s="4">
      <c r="A2" s="3" t="n">
        <v>16896</v>
      </c>
      <c r="B2" s="3" t="inlineStr">
        <is>
          <t>11/04/2026 al 10/05/2026</t>
        </is>
      </c>
      <c r="C2" s="2" t="n">
        <v>46179</v>
      </c>
      <c r="D2" s="2" t="n">
        <v>46174</v>
      </c>
      <c r="E2" s="2" t="n">
        <v>46122</v>
      </c>
      <c r="F2" s="2" t="n">
        <v>46152</v>
      </c>
      <c r="G2" t="inlineStr">
        <is>
          <t>MARCELINA OBREGON DE AVILA</t>
        </is>
      </c>
      <c r="H2" t="inlineStr">
        <is>
          <t>A</t>
        </is>
      </c>
      <c r="I2" t="inlineStr">
        <is>
          <t>1</t>
        </is>
      </c>
      <c r="J2" t="n">
        <v>19</v>
      </c>
      <c r="K2" t="n">
        <v>26</v>
      </c>
      <c r="L2">
        <f>K2-J2</f>
        <v/>
      </c>
      <c r="M2" t="n">
        <v>7</v>
      </c>
      <c r="N2">
        <f>IF(L2&lt;&gt;M2,1,0)</f>
        <v/>
      </c>
      <c r="O2" t="n">
        <v>7</v>
      </c>
      <c r="S2" t="n">
        <v>3</v>
      </c>
      <c r="T2" s="3">
        <f>SUM(O2:S2)</f>
        <v/>
      </c>
      <c r="U2" s="3">
        <f>IF(P2&lt;8,"USTED ESTÁ AL DÍA","USTED NO ESTÁ AL DÍA")</f>
        <v/>
      </c>
      <c r="V2" s="3" t="inlineStr">
        <is>
          <t>PAGO PRESENCIAL:  05/06 de 4-6 pm (LOCAL DEL PUEBLO), PAGO YAPE: 948 227 636</t>
        </is>
      </c>
      <c r="X2" t="n">
        <v>50</v>
      </c>
      <c r="Y2">
        <f>T2+W2+X2</f>
        <v/>
      </c>
    </row>
    <row r="3" hidden="1" ht="14.5" customHeight="1" s="4">
      <c r="A3" s="3" t="n">
        <v>16897</v>
      </c>
      <c r="B3" s="3" t="inlineStr">
        <is>
          <t>11/04/2026 al 10/05/2026</t>
        </is>
      </c>
      <c r="C3" s="2" t="n">
        <v>46179</v>
      </c>
      <c r="D3" s="2" t="n">
        <v>46174</v>
      </c>
      <c r="E3" s="2" t="n">
        <v>46122</v>
      </c>
      <c r="F3" s="2" t="n">
        <v>46152</v>
      </c>
      <c r="G3" t="inlineStr">
        <is>
          <t>ROSA AURORA ROCA VIDAL</t>
        </is>
      </c>
      <c r="H3" t="inlineStr">
        <is>
          <t>A</t>
        </is>
      </c>
      <c r="I3" t="inlineStr">
        <is>
          <t>2</t>
        </is>
      </c>
      <c r="J3" t="n">
        <v>2723</v>
      </c>
      <c r="K3" t="n">
        <v>2741</v>
      </c>
      <c r="L3">
        <f>K3-J3</f>
        <v/>
      </c>
      <c r="M3" t="n">
        <v>18</v>
      </c>
      <c r="N3">
        <f>IF(L3&lt;&gt;M3,1,0)</f>
        <v/>
      </c>
      <c r="O3" t="n">
        <v>18</v>
      </c>
      <c r="P3" t="n">
        <v>23</v>
      </c>
      <c r="S3" t="n">
        <v>3</v>
      </c>
      <c r="T3" s="3">
        <f>SUM(O3:S3)</f>
        <v/>
      </c>
      <c r="U3" s="3">
        <f>IF(P3&lt;8,"USTED ESTÁ AL DÍA","USTED NO ESTÁ AL DÍA")</f>
        <v/>
      </c>
      <c r="V3" s="3" t="inlineStr">
        <is>
          <t>PAGO PRESENCIAL:  05/06 de 4-6 pm (LOCAL DEL PUEBLO), PAGO YAPE: 948 227 636</t>
        </is>
      </c>
      <c r="W3" t="n">
        <v>50</v>
      </c>
      <c r="Y3">
        <f>T3+W3+X3</f>
        <v/>
      </c>
    </row>
    <row r="4" hidden="1" ht="14.5" customHeight="1" s="4">
      <c r="A4" s="3" t="n">
        <v>16898</v>
      </c>
      <c r="B4" s="3" t="inlineStr">
        <is>
          <t>11/04/2026 al 10/05/2026</t>
        </is>
      </c>
      <c r="C4" s="2" t="n">
        <v>46179</v>
      </c>
      <c r="D4" s="2" t="n">
        <v>46174</v>
      </c>
      <c r="E4" s="2" t="n">
        <v>46122</v>
      </c>
      <c r="F4" s="2" t="n">
        <v>46152</v>
      </c>
      <c r="G4" t="inlineStr">
        <is>
          <t>LINDA PAJUELO COCHACHIN</t>
        </is>
      </c>
      <c r="H4" t="inlineStr">
        <is>
          <t>A</t>
        </is>
      </c>
      <c r="I4" t="inlineStr">
        <is>
          <t>3</t>
        </is>
      </c>
      <c r="J4" t="n">
        <v>22</v>
      </c>
      <c r="K4" t="n">
        <v>22</v>
      </c>
      <c r="L4">
        <f>K4-J4</f>
        <v/>
      </c>
      <c r="M4" t="n">
        <v>5</v>
      </c>
      <c r="O4" t="n">
        <v>5</v>
      </c>
      <c r="S4" t="n">
        <v>3</v>
      </c>
      <c r="T4" s="3">
        <f>SUM(O4:S4)</f>
        <v/>
      </c>
      <c r="U4" s="3">
        <f>IF(P4&lt;8,"USTED ESTÁ AL DÍA","USTED NO ESTÁ AL DÍA")</f>
        <v/>
      </c>
      <c r="V4" s="3" t="inlineStr">
        <is>
          <t>PAGO PRESENCIAL:  05/06 de 4-6 pm (LOCAL DEL PUEBLO), PAGO YAPE: 948 227 636</t>
        </is>
      </c>
      <c r="Y4">
        <f>T4+W4+X4</f>
        <v/>
      </c>
    </row>
    <row r="5" hidden="1" ht="14.5" customHeight="1" s="4">
      <c r="A5" s="3" t="n">
        <v>16899</v>
      </c>
      <c r="B5" s="3" t="inlineStr">
        <is>
          <t>11/04/2026 al 10/05/2026</t>
        </is>
      </c>
      <c r="C5" s="2" t="n">
        <v>46179</v>
      </c>
      <c r="D5" s="2" t="n">
        <v>46174</v>
      </c>
      <c r="E5" s="2" t="n">
        <v>46122</v>
      </c>
      <c r="F5" s="2" t="n">
        <v>46152</v>
      </c>
      <c r="G5" t="inlineStr">
        <is>
          <t>YOLANDA ESPINOZA JAIMES</t>
        </is>
      </c>
      <c r="H5" t="inlineStr">
        <is>
          <t>A</t>
        </is>
      </c>
      <c r="I5" t="inlineStr">
        <is>
          <t>4</t>
        </is>
      </c>
      <c r="J5" t="n">
        <v>2</v>
      </c>
      <c r="K5" t="n">
        <v>2</v>
      </c>
      <c r="L5">
        <f>K5-J5</f>
        <v/>
      </c>
      <c r="M5" t="n">
        <v>5</v>
      </c>
      <c r="O5" t="n">
        <v>5</v>
      </c>
      <c r="P5" t="n">
        <v>15</v>
      </c>
      <c r="R5" t="n">
        <v>25</v>
      </c>
      <c r="S5" t="n">
        <v>3</v>
      </c>
      <c r="T5" s="3">
        <f>SUM(O5:S5)</f>
        <v/>
      </c>
      <c r="U5" s="3">
        <f>IF(P5&lt;8,"USTED ESTÁ AL DÍA","USTED NO ESTÁ AL DÍA")</f>
        <v/>
      </c>
      <c r="V5" s="3" t="inlineStr">
        <is>
          <t>PAGO PRESENCIAL:  05/06 de 4-6 pm (LOCAL DEL PUEBLO), PAGO YAPE: 948 227 636</t>
        </is>
      </c>
      <c r="W5" t="n">
        <v>30</v>
      </c>
      <c r="X5" t="n">
        <v>75</v>
      </c>
      <c r="Y5">
        <f>T5+W5+X5</f>
        <v/>
      </c>
    </row>
    <row r="6" hidden="1" ht="14.5" customHeight="1" s="4">
      <c r="A6" s="3" t="n">
        <v>16900</v>
      </c>
      <c r="B6" s="3" t="inlineStr">
        <is>
          <t>11/04/2026 al 10/05/2026</t>
        </is>
      </c>
      <c r="C6" s="2" t="n">
        <v>46179</v>
      </c>
      <c r="D6" s="2" t="n">
        <v>46174</v>
      </c>
      <c r="E6" s="2" t="n">
        <v>46122</v>
      </c>
      <c r="F6" s="2" t="n">
        <v>46152</v>
      </c>
      <c r="G6" t="inlineStr">
        <is>
          <t>JULIA AGAMA CUZCO</t>
        </is>
      </c>
      <c r="H6" t="inlineStr">
        <is>
          <t>A</t>
        </is>
      </c>
      <c r="I6" t="inlineStr">
        <is>
          <t>5</t>
        </is>
      </c>
      <c r="J6" t="n">
        <v>32</v>
      </c>
      <c r="K6" t="n">
        <v>45</v>
      </c>
      <c r="L6">
        <f>K6-J6</f>
        <v/>
      </c>
      <c r="M6" t="n">
        <v>13</v>
      </c>
      <c r="N6">
        <f>IF(L6&lt;&gt;M6,1,0)</f>
        <v/>
      </c>
      <c r="O6" t="n">
        <v>13</v>
      </c>
      <c r="R6" t="n">
        <v>25</v>
      </c>
      <c r="S6" t="n">
        <v>3</v>
      </c>
      <c r="T6" s="3">
        <f>SUM(O6:S6)</f>
        <v/>
      </c>
      <c r="U6" s="3">
        <f>IF(P6&lt;8,"USTED ESTÁ AL DÍA","USTED NO ESTÁ AL DÍA")</f>
        <v/>
      </c>
      <c r="V6" s="3" t="inlineStr">
        <is>
          <t>PAGO PRESENCIAL:  05/06 de 4-6 pm (LOCAL DEL PUEBLO), PAGO YAPE: 948 227 636</t>
        </is>
      </c>
      <c r="W6" t="n">
        <v>30</v>
      </c>
      <c r="Y6">
        <f>T6+W6+X6</f>
        <v/>
      </c>
    </row>
    <row r="7" hidden="1" ht="14.5" customHeight="1" s="4">
      <c r="A7" s="3" t="n">
        <v>16901</v>
      </c>
      <c r="B7" s="3" t="inlineStr">
        <is>
          <t>11/04/2026 al 10/05/2026</t>
        </is>
      </c>
      <c r="C7" s="2" t="n">
        <v>46179</v>
      </c>
      <c r="D7" s="2" t="n">
        <v>46174</v>
      </c>
      <c r="E7" s="2" t="n">
        <v>46122</v>
      </c>
      <c r="F7" s="2" t="n">
        <v>46152</v>
      </c>
      <c r="G7" t="inlineStr">
        <is>
          <t>ESTEBAN REYES SANCHEZ</t>
        </is>
      </c>
      <c r="H7" t="inlineStr">
        <is>
          <t>A</t>
        </is>
      </c>
      <c r="I7" t="inlineStr">
        <is>
          <t>6</t>
        </is>
      </c>
      <c r="J7" t="n">
        <v>52</v>
      </c>
      <c r="K7" t="n">
        <v>80</v>
      </c>
      <c r="L7">
        <f>K7-J7</f>
        <v/>
      </c>
      <c r="M7" t="n">
        <v>28</v>
      </c>
      <c r="N7">
        <f>IF(L7&lt;&gt;M7,1,0)</f>
        <v/>
      </c>
      <c r="O7" t="n">
        <v>28</v>
      </c>
      <c r="R7" t="n">
        <v>25</v>
      </c>
      <c r="S7" t="n">
        <v>3</v>
      </c>
      <c r="T7" s="3">
        <f>SUM(O7:S7)</f>
        <v/>
      </c>
      <c r="U7" s="3">
        <f>IF(P7&lt;8,"USTED ESTÁ AL DÍA","USTED NO ESTÁ AL DÍA")</f>
        <v/>
      </c>
      <c r="V7" s="3" t="inlineStr">
        <is>
          <t>PAGO PRESENCIAL:  05/06 de 4-6 pm (LOCAL DEL PUEBLO), PAGO YAPE: 948 227 636</t>
        </is>
      </c>
      <c r="X7" t="n">
        <v>50</v>
      </c>
      <c r="Y7">
        <f>T7+W7+X7</f>
        <v/>
      </c>
    </row>
    <row r="8" hidden="1" ht="14.5" customHeight="1" s="4">
      <c r="A8" s="3" t="n">
        <v>16902</v>
      </c>
      <c r="B8" s="3" t="inlineStr">
        <is>
          <t>11/04/2026 al 10/05/2026</t>
        </is>
      </c>
      <c r="C8" s="2" t="n">
        <v>46179</v>
      </c>
      <c r="D8" s="2" t="n">
        <v>46174</v>
      </c>
      <c r="E8" s="2" t="n">
        <v>46122</v>
      </c>
      <c r="F8" s="2" t="n">
        <v>46152</v>
      </c>
      <c r="G8" t="inlineStr">
        <is>
          <t>JUAN CARLOS MELGAREJO BEDON</t>
        </is>
      </c>
      <c r="H8" t="inlineStr">
        <is>
          <t>A</t>
        </is>
      </c>
      <c r="I8" t="inlineStr">
        <is>
          <t>7</t>
        </is>
      </c>
      <c r="J8" t="n">
        <v>1777</v>
      </c>
      <c r="K8" t="n">
        <v>1788</v>
      </c>
      <c r="L8">
        <f>K8-J8</f>
        <v/>
      </c>
      <c r="M8" t="n">
        <v>11</v>
      </c>
      <c r="N8">
        <f>IF(L8&lt;&gt;M8,1,0)</f>
        <v/>
      </c>
      <c r="O8" t="n">
        <v>11</v>
      </c>
      <c r="S8" t="n">
        <v>3</v>
      </c>
      <c r="T8" s="3">
        <f>SUM(O8:S8)</f>
        <v/>
      </c>
      <c r="U8" s="3">
        <f>IF(P8&lt;8,"USTED ESTÁ AL DÍA","USTED NO ESTÁ AL DÍA")</f>
        <v/>
      </c>
      <c r="V8" s="3" t="inlineStr">
        <is>
          <t>PAGO PRESENCIAL:  05/06 de 4-6 pm (LOCAL DEL PUEBLO), PAGO YAPE: 948 227 636</t>
        </is>
      </c>
      <c r="W8" t="n">
        <v>30</v>
      </c>
      <c r="Y8">
        <f>T8+W8+X8</f>
        <v/>
      </c>
    </row>
    <row r="9" hidden="1" ht="14.5" customHeight="1" s="4">
      <c r="A9" s="3" t="n">
        <v>16903</v>
      </c>
      <c r="B9" s="3" t="inlineStr">
        <is>
          <t>11/04/2026 al 10/05/2026</t>
        </is>
      </c>
      <c r="C9" s="2" t="n">
        <v>46179</v>
      </c>
      <c r="D9" s="2" t="n">
        <v>46174</v>
      </c>
      <c r="E9" s="2" t="n">
        <v>46122</v>
      </c>
      <c r="F9" s="2" t="n">
        <v>46152</v>
      </c>
      <c r="G9" t="inlineStr">
        <is>
          <t>VICTOR MELGAREJO CORCINO</t>
        </is>
      </c>
      <c r="H9" t="inlineStr">
        <is>
          <t>A</t>
        </is>
      </c>
      <c r="I9" t="inlineStr">
        <is>
          <t>8</t>
        </is>
      </c>
      <c r="J9" t="n">
        <v>49</v>
      </c>
      <c r="K9" t="n">
        <v>72</v>
      </c>
      <c r="L9">
        <f>K9-J9</f>
        <v/>
      </c>
      <c r="M9" t="n">
        <v>23</v>
      </c>
      <c r="N9">
        <f>IF(L9&lt;&gt;M9,1,0)</f>
        <v/>
      </c>
      <c r="O9" t="n">
        <v>23</v>
      </c>
      <c r="P9" t="n">
        <v>26</v>
      </c>
      <c r="R9" t="n">
        <v>25</v>
      </c>
      <c r="S9" t="n">
        <v>3</v>
      </c>
      <c r="T9" s="3">
        <f>SUM(O9:S9)</f>
        <v/>
      </c>
      <c r="U9" s="3">
        <f>IF(P9&lt;8,"USTED ESTÁ AL DÍA","USTED NO ESTÁ AL DÍA")</f>
        <v/>
      </c>
      <c r="V9" s="3" t="inlineStr">
        <is>
          <t>PAGO PRESENCIAL:  05/06 de 4-6 pm (LOCAL DEL PUEBLO), PAGO YAPE: 948 227 636</t>
        </is>
      </c>
      <c r="Y9">
        <f>T9+W9+X9</f>
        <v/>
      </c>
    </row>
    <row r="10" hidden="1" ht="14.5" customHeight="1" s="4">
      <c r="A10" s="3" t="n">
        <v>16904</v>
      </c>
      <c r="B10" s="3" t="inlineStr">
        <is>
          <t>11/04/2026 al 10/05/2026</t>
        </is>
      </c>
      <c r="C10" s="2" t="n">
        <v>46179</v>
      </c>
      <c r="D10" s="2" t="n">
        <v>46174</v>
      </c>
      <c r="E10" s="2" t="n">
        <v>46122</v>
      </c>
      <c r="F10" s="2" t="n">
        <v>46152</v>
      </c>
      <c r="G10" t="inlineStr">
        <is>
          <t>ALEJANDRO MELGAREJO ESPINOZA</t>
        </is>
      </c>
      <c r="H10" t="inlineStr">
        <is>
          <t>A</t>
        </is>
      </c>
      <c r="I10" t="inlineStr">
        <is>
          <t>9</t>
        </is>
      </c>
      <c r="J10" t="n">
        <v>2288</v>
      </c>
      <c r="K10" t="n">
        <v>2340</v>
      </c>
      <c r="L10">
        <f>K10-J10</f>
        <v/>
      </c>
      <c r="M10" t="n">
        <v>52</v>
      </c>
      <c r="N10">
        <f>IF(L10&lt;&gt;M10,1,0)</f>
        <v/>
      </c>
      <c r="O10" t="n">
        <v>52</v>
      </c>
      <c r="S10" t="n">
        <v>3</v>
      </c>
      <c r="T10" s="3">
        <f>SUM(O10:S10)</f>
        <v/>
      </c>
      <c r="U10" s="3">
        <f>IF(P10&lt;8,"USTED ESTÁ AL DÍA","USTED NO ESTÁ AL DÍA")</f>
        <v/>
      </c>
      <c r="V10" s="3" t="inlineStr">
        <is>
          <t>PAGO PRESENCIAL:  05/06 de 4-6 pm (LOCAL DEL PUEBLO), PAGO YAPE: 948 227 636</t>
        </is>
      </c>
      <c r="W10" t="n">
        <v>50</v>
      </c>
      <c r="X10" t="n">
        <v>50</v>
      </c>
      <c r="Y10">
        <f>T10+W10+X10</f>
        <v/>
      </c>
    </row>
    <row r="11" hidden="1" ht="14.5" customHeight="1" s="4">
      <c r="A11" s="3" t="n">
        <v>16905</v>
      </c>
      <c r="B11" s="3" t="inlineStr">
        <is>
          <t>11/04/2026 al 10/05/2026</t>
        </is>
      </c>
      <c r="C11" s="2" t="n">
        <v>46179</v>
      </c>
      <c r="D11" s="2" t="n">
        <v>46174</v>
      </c>
      <c r="E11" s="2" t="n">
        <v>46122</v>
      </c>
      <c r="F11" s="2" t="n">
        <v>46152</v>
      </c>
      <c r="G11" t="inlineStr">
        <is>
          <t>ISABEL PUNTILLO VEGA</t>
        </is>
      </c>
      <c r="H11" t="inlineStr">
        <is>
          <t>A</t>
        </is>
      </c>
      <c r="I11" t="inlineStr">
        <is>
          <t>10</t>
        </is>
      </c>
      <c r="J11" t="n">
        <v>683</v>
      </c>
      <c r="K11" t="n">
        <v>690</v>
      </c>
      <c r="L11">
        <f>K11-J11</f>
        <v/>
      </c>
      <c r="M11" t="n">
        <v>7</v>
      </c>
      <c r="N11">
        <f>IF(L11&lt;&gt;M11,1,0)</f>
        <v/>
      </c>
      <c r="O11" t="n">
        <v>7</v>
      </c>
      <c r="S11" t="n">
        <v>3</v>
      </c>
      <c r="T11" s="3">
        <f>SUM(O11:S11)</f>
        <v/>
      </c>
      <c r="U11" s="3">
        <f>IF(P11&lt;8,"USTED ESTÁ AL DÍA","USTED NO ESTÁ AL DÍA")</f>
        <v/>
      </c>
      <c r="V11" s="3" t="inlineStr">
        <is>
          <t>PAGO PRESENCIAL:  05/06 de 4-6 pm (LOCAL DEL PUEBLO), PAGO YAPE: 948 227 636</t>
        </is>
      </c>
      <c r="Y11">
        <f>T11+W11+X11</f>
        <v/>
      </c>
    </row>
    <row r="12" hidden="1" ht="14.5" customHeight="1" s="4">
      <c r="A12" s="3" t="n">
        <v>16906</v>
      </c>
      <c r="B12" s="3" t="inlineStr">
        <is>
          <t>11/04/2026 al 10/05/2026</t>
        </is>
      </c>
      <c r="C12" s="2" t="n">
        <v>46179</v>
      </c>
      <c r="D12" s="2" t="n">
        <v>46174</v>
      </c>
      <c r="E12" s="2" t="n">
        <v>46122</v>
      </c>
      <c r="F12" s="2" t="n">
        <v>46152</v>
      </c>
      <c r="G12" t="inlineStr">
        <is>
          <t>FELIX POZO CASTRO</t>
        </is>
      </c>
      <c r="H12" t="inlineStr">
        <is>
          <t>A</t>
        </is>
      </c>
      <c r="I12" t="inlineStr">
        <is>
          <t>11</t>
        </is>
      </c>
      <c r="J12" t="n">
        <v>365</v>
      </c>
      <c r="K12" t="n">
        <v>365</v>
      </c>
      <c r="L12">
        <f>K12-J12</f>
        <v/>
      </c>
      <c r="M12" t="n">
        <v>5</v>
      </c>
      <c r="O12" t="n">
        <v>5</v>
      </c>
      <c r="P12" t="n">
        <v>8</v>
      </c>
      <c r="Q12" t="n">
        <v>0</v>
      </c>
      <c r="S12" t="n">
        <v>3</v>
      </c>
      <c r="T12" s="3">
        <f>SUM(O12:S12)</f>
        <v/>
      </c>
      <c r="U12" s="3">
        <f>IF(P12&lt;8,"USTED ESTÁ AL DÍA","USTED NO ESTÁ AL DÍA")</f>
        <v/>
      </c>
      <c r="V12" s="3" t="inlineStr">
        <is>
          <t>PAGO PRESENCIAL:  05/06 de 4-6 pm (LOCAL DEL PUEBLO), PAGO YAPE: 948 227 636</t>
        </is>
      </c>
      <c r="X12" t="n">
        <v>50</v>
      </c>
      <c r="Y12">
        <f>T12+W12+X12</f>
        <v/>
      </c>
    </row>
    <row r="13" hidden="1" ht="14.5" customHeight="1" s="4">
      <c r="A13" s="3" t="n">
        <v>16907</v>
      </c>
      <c r="B13" s="3" t="inlineStr">
        <is>
          <t>11/04/2026 al 10/05/2026</t>
        </is>
      </c>
      <c r="C13" s="2" t="n">
        <v>46179</v>
      </c>
      <c r="D13" s="2" t="n">
        <v>46174</v>
      </c>
      <c r="E13" s="2" t="n">
        <v>46122</v>
      </c>
      <c r="F13" s="2" t="n">
        <v>46152</v>
      </c>
      <c r="G13" t="inlineStr">
        <is>
          <t>JHONI MELGAREJO BEDON</t>
        </is>
      </c>
      <c r="H13" t="inlineStr">
        <is>
          <t>A</t>
        </is>
      </c>
      <c r="I13" t="inlineStr">
        <is>
          <t>8A</t>
        </is>
      </c>
      <c r="J13" t="n">
        <v>198</v>
      </c>
      <c r="K13" t="n">
        <v>216</v>
      </c>
      <c r="L13">
        <f>K13-J13</f>
        <v/>
      </c>
      <c r="M13" t="n">
        <v>18</v>
      </c>
      <c r="N13">
        <f>IF(L13&lt;&gt;M13,1,0)</f>
        <v/>
      </c>
      <c r="O13" t="n">
        <v>18</v>
      </c>
      <c r="S13" t="n">
        <v>3</v>
      </c>
      <c r="T13" s="3">
        <f>SUM(O13:S13)</f>
        <v/>
      </c>
      <c r="U13" s="3">
        <f>IF(P13&lt;8,"USTED ESTÁ AL DÍA","USTED NO ESTÁ AL DÍA")</f>
        <v/>
      </c>
      <c r="V13" s="3" t="inlineStr">
        <is>
          <t>PAGO PRESENCIAL:  05/06 de 4-6 pm (LOCAL DEL PUEBLO), PAGO YAPE: 948 227 636</t>
        </is>
      </c>
      <c r="Y13">
        <f>T13+W13+X13</f>
        <v/>
      </c>
    </row>
    <row r="14" hidden="1" ht="14.5" customHeight="1" s="4">
      <c r="A14" s="3" t="n">
        <v>16908</v>
      </c>
      <c r="B14" s="3" t="inlineStr">
        <is>
          <t>11/04/2026 al 10/05/2026</t>
        </is>
      </c>
      <c r="C14" s="2" t="n">
        <v>46179</v>
      </c>
      <c r="D14" s="2" t="n">
        <v>46174</v>
      </c>
      <c r="E14" s="2" t="n">
        <v>46122</v>
      </c>
      <c r="F14" s="2" t="n">
        <v>46152</v>
      </c>
      <c r="G14" t="inlineStr">
        <is>
          <t>GABY REYES JUAREZ</t>
        </is>
      </c>
      <c r="H14" t="inlineStr">
        <is>
          <t>A</t>
        </is>
      </c>
      <c r="I14" t="inlineStr">
        <is>
          <t>6A</t>
        </is>
      </c>
      <c r="L14">
        <f>K14-J14</f>
        <v/>
      </c>
      <c r="S14" t="n">
        <v>0</v>
      </c>
      <c r="T14" s="3">
        <f>SUM(O14:S14)</f>
        <v/>
      </c>
      <c r="U14" s="3">
        <f>IF(P14&lt;8,"USTED ESTÁ AL DÍA","USTED NO ESTÁ AL DÍA")</f>
        <v/>
      </c>
      <c r="V14" s="3" t="inlineStr">
        <is>
          <t>PAGO PRESENCIAL:  05/06 de 4-6 pm (LOCAL DEL PUEBLO), PAGO YAPE: 948 227 636</t>
        </is>
      </c>
      <c r="W14" t="n">
        <v>50</v>
      </c>
      <c r="X14" t="n">
        <v>75</v>
      </c>
      <c r="Y14">
        <f>T14+W14+X14</f>
        <v/>
      </c>
    </row>
    <row r="15" hidden="1" ht="14.5" customHeight="1" s="4">
      <c r="A15" s="3" t="n">
        <v>16909</v>
      </c>
      <c r="B15" s="3" t="inlineStr">
        <is>
          <t>11/04/2026 al 10/05/2026</t>
        </is>
      </c>
      <c r="C15" s="2" t="n">
        <v>46179</v>
      </c>
      <c r="D15" s="2" t="n">
        <v>46174</v>
      </c>
      <c r="E15" s="2" t="n">
        <v>46122</v>
      </c>
      <c r="F15" s="2" t="n">
        <v>46152</v>
      </c>
      <c r="G15" t="inlineStr">
        <is>
          <t>GRICEL PAOLA DE LA CRUZ</t>
        </is>
      </c>
      <c r="H15" t="inlineStr">
        <is>
          <t>A</t>
        </is>
      </c>
      <c r="I15" t="inlineStr">
        <is>
          <t>10A</t>
        </is>
      </c>
      <c r="L15">
        <f>K15-J15</f>
        <v/>
      </c>
      <c r="S15" t="n">
        <v>0</v>
      </c>
      <c r="T15" s="3">
        <f>SUM(O15:S15)</f>
        <v/>
      </c>
      <c r="U15" s="3">
        <f>IF(P15&lt;8,"USTED ESTÁ AL DÍA","USTED NO ESTÁ AL DÍA")</f>
        <v/>
      </c>
      <c r="V15" s="3" t="inlineStr">
        <is>
          <t>PAGO PRESENCIAL:  05/06 de 4-6 pm (LOCAL DEL PUEBLO), PAGO YAPE: 948 227 636</t>
        </is>
      </c>
      <c r="W15" t="n">
        <v>30</v>
      </c>
      <c r="Y15">
        <f>T15+W15+X15</f>
        <v/>
      </c>
    </row>
    <row r="16" hidden="1" ht="14.5" customHeight="1" s="4">
      <c r="A16" s="3" t="n">
        <v>16910</v>
      </c>
      <c r="B16" s="3" t="inlineStr">
        <is>
          <t>11/04/2026 al 10/05/2026</t>
        </is>
      </c>
      <c r="C16" s="2" t="n">
        <v>46179</v>
      </c>
      <c r="D16" s="2" t="n">
        <v>46174</v>
      </c>
      <c r="E16" s="2" t="n">
        <v>46122</v>
      </c>
      <c r="F16" s="2" t="n">
        <v>46152</v>
      </c>
      <c r="G16" t="inlineStr">
        <is>
          <t>GENARO FRANCISCO CHINCHAY</t>
        </is>
      </c>
      <c r="H16" t="inlineStr">
        <is>
          <t>A1</t>
        </is>
      </c>
      <c r="I16" t="inlineStr">
        <is>
          <t>1</t>
        </is>
      </c>
      <c r="J16" t="n">
        <v>517</v>
      </c>
      <c r="K16" t="n">
        <v>519</v>
      </c>
      <c r="L16">
        <f>K16-J16</f>
        <v/>
      </c>
      <c r="M16" t="n">
        <v>5</v>
      </c>
      <c r="O16" t="n">
        <v>5</v>
      </c>
      <c r="P16" t="n">
        <v>8</v>
      </c>
      <c r="S16" t="n">
        <v>3</v>
      </c>
      <c r="T16" s="3">
        <f>SUM(O16:S16)</f>
        <v/>
      </c>
      <c r="U16" s="3">
        <f>IF(P16&lt;8,"USTED ESTÁ AL DÍA","USTED NO ESTÁ AL DÍA")</f>
        <v/>
      </c>
      <c r="V16" s="3" t="inlineStr">
        <is>
          <t>PAGO PRESENCIAL:  05/06 de 4-6 pm (LOCAL DEL PUEBLO), PAGO YAPE: 948 227 636</t>
        </is>
      </c>
      <c r="Y16">
        <f>T16+W16+X16</f>
        <v/>
      </c>
    </row>
    <row r="17" hidden="1" ht="14.5" customHeight="1" s="4">
      <c r="A17" s="3" t="n">
        <v>16911</v>
      </c>
      <c r="B17" s="3" t="inlineStr">
        <is>
          <t>11/04/2026 al 10/05/2026</t>
        </is>
      </c>
      <c r="C17" s="2" t="n">
        <v>46179</v>
      </c>
      <c r="D17" s="2" t="n">
        <v>46174</v>
      </c>
      <c r="E17" s="2" t="n">
        <v>46122</v>
      </c>
      <c r="F17" s="2" t="n">
        <v>46152</v>
      </c>
      <c r="G17" t="inlineStr">
        <is>
          <t>EUGENIA UTRILLA FRANCISCO</t>
        </is>
      </c>
      <c r="H17" t="inlineStr">
        <is>
          <t>A1</t>
        </is>
      </c>
      <c r="I17" t="inlineStr">
        <is>
          <t>2</t>
        </is>
      </c>
      <c r="J17" t="n">
        <v>962</v>
      </c>
      <c r="K17" t="n">
        <v>978</v>
      </c>
      <c r="L17">
        <f>K17-J17</f>
        <v/>
      </c>
      <c r="M17" t="n">
        <v>16</v>
      </c>
      <c r="N17">
        <f>IF(L17&lt;&gt;M17,1,0)</f>
        <v/>
      </c>
      <c r="O17" t="n">
        <v>16</v>
      </c>
      <c r="S17" t="n">
        <v>3</v>
      </c>
      <c r="T17" s="3">
        <f>SUM(O17:S17)</f>
        <v/>
      </c>
      <c r="U17" s="3">
        <f>IF(P17&lt;8,"USTED ESTÁ AL DÍA","USTED NO ESTÁ AL DÍA")</f>
        <v/>
      </c>
      <c r="V17" s="3" t="inlineStr">
        <is>
          <t>PAGO PRESENCIAL:  05/06 de 4-6 pm (LOCAL DEL PUEBLO), PAGO YAPE: 948 227 636</t>
        </is>
      </c>
      <c r="X17" t="n">
        <v>50</v>
      </c>
      <c r="Y17">
        <f>T17+W17+X17</f>
        <v/>
      </c>
    </row>
    <row r="18" hidden="1" ht="14.5" customHeight="1" s="4">
      <c r="A18" s="3" t="n">
        <v>16912</v>
      </c>
      <c r="B18" s="3" t="inlineStr">
        <is>
          <t>11/04/2026 al 10/05/2026</t>
        </is>
      </c>
      <c r="C18" s="2" t="n">
        <v>46179</v>
      </c>
      <c r="D18" s="2" t="n">
        <v>46174</v>
      </c>
      <c r="E18" s="2" t="n">
        <v>46122</v>
      </c>
      <c r="F18" s="2" t="n">
        <v>46152</v>
      </c>
      <c r="G18" t="inlineStr">
        <is>
          <t>ODELIO DELGADO OBREGON</t>
        </is>
      </c>
      <c r="H18" t="inlineStr">
        <is>
          <t>A1</t>
        </is>
      </c>
      <c r="I18" t="inlineStr">
        <is>
          <t>3</t>
        </is>
      </c>
      <c r="J18" t="n">
        <v>7661</v>
      </c>
      <c r="K18" t="n">
        <v>7714</v>
      </c>
      <c r="L18">
        <f>K18-J18</f>
        <v/>
      </c>
      <c r="M18" t="n">
        <v>53</v>
      </c>
      <c r="N18">
        <f>IF(L18&lt;&gt;M18,1,0)</f>
        <v/>
      </c>
      <c r="O18" t="n">
        <v>53</v>
      </c>
      <c r="S18" t="n">
        <v>3</v>
      </c>
      <c r="T18" s="3">
        <f>SUM(O18:S18)</f>
        <v/>
      </c>
      <c r="U18" s="3">
        <f>IF(P18&lt;8,"USTED ESTÁ AL DÍA","USTED NO ESTÁ AL DÍA")</f>
        <v/>
      </c>
      <c r="V18" s="3" t="inlineStr">
        <is>
          <t>PAGO PRESENCIAL:  05/06 de 4-6 pm (LOCAL DEL PUEBLO), PAGO YAPE: 948 227 636</t>
        </is>
      </c>
      <c r="Y18">
        <f>T18+W18+X18</f>
        <v/>
      </c>
    </row>
    <row r="19" hidden="1" ht="14.5" customHeight="1" s="4">
      <c r="A19" s="3" t="n">
        <v>16913</v>
      </c>
      <c r="B19" s="3" t="inlineStr">
        <is>
          <t>11/04/2026 al 10/05/2026</t>
        </is>
      </c>
      <c r="C19" s="2" t="n">
        <v>46179</v>
      </c>
      <c r="D19" s="2" t="n">
        <v>46174</v>
      </c>
      <c r="E19" s="2" t="n">
        <v>46122</v>
      </c>
      <c r="F19" s="2" t="n">
        <v>46152</v>
      </c>
      <c r="G19" t="inlineStr">
        <is>
          <t>RAUL DELGADO OBREGON</t>
        </is>
      </c>
      <c r="H19" t="inlineStr">
        <is>
          <t>A1</t>
        </is>
      </c>
      <c r="I19" t="inlineStr">
        <is>
          <t>3A</t>
        </is>
      </c>
      <c r="J19" t="n">
        <v>290</v>
      </c>
      <c r="K19" t="n">
        <v>299</v>
      </c>
      <c r="L19">
        <f>K19-J19</f>
        <v/>
      </c>
      <c r="M19" t="n">
        <v>9</v>
      </c>
      <c r="N19">
        <f>IF(L19&lt;&gt;M19,1,0)</f>
        <v/>
      </c>
      <c r="O19" t="n">
        <v>9</v>
      </c>
      <c r="S19" t="n">
        <v>3</v>
      </c>
      <c r="T19" s="3">
        <f>SUM(O19:S19)</f>
        <v/>
      </c>
      <c r="U19" s="3">
        <f>IF(P19&lt;8,"USTED ESTÁ AL DÍA","USTED NO ESTÁ AL DÍA")</f>
        <v/>
      </c>
      <c r="V19" s="3" t="inlineStr">
        <is>
          <t>PAGO PRESENCIAL:  05/06 de 4-6 pm (LOCAL DEL PUEBLO), PAGO YAPE: 948 227 636</t>
        </is>
      </c>
      <c r="W19" t="n">
        <v>50</v>
      </c>
      <c r="Y19">
        <f>T19+W19+X19</f>
        <v/>
      </c>
    </row>
    <row r="20" hidden="1" ht="14.5" customHeight="1" s="4">
      <c r="A20" s="3" t="n">
        <v>16914</v>
      </c>
      <c r="B20" s="3" t="inlineStr">
        <is>
          <t>11/04/2026 al 10/05/2026</t>
        </is>
      </c>
      <c r="C20" s="2" t="n">
        <v>46179</v>
      </c>
      <c r="D20" s="2" t="n">
        <v>46174</v>
      </c>
      <c r="E20" s="2" t="n">
        <v>46122</v>
      </c>
      <c r="F20" s="2" t="n">
        <v>46152</v>
      </c>
      <c r="G20" t="inlineStr">
        <is>
          <t>ALBERTO CHINCHAY PARIAMACHI</t>
        </is>
      </c>
      <c r="H20" t="inlineStr">
        <is>
          <t>A1</t>
        </is>
      </c>
      <c r="I20" t="inlineStr">
        <is>
          <t>4</t>
        </is>
      </c>
      <c r="J20" t="n">
        <v>1082</v>
      </c>
      <c r="K20" t="n">
        <v>1087</v>
      </c>
      <c r="L20">
        <f>K20-J20</f>
        <v/>
      </c>
      <c r="M20" t="n">
        <v>5</v>
      </c>
      <c r="O20" t="n">
        <v>5</v>
      </c>
      <c r="S20" t="n">
        <v>3</v>
      </c>
      <c r="T20" s="3">
        <f>SUM(O20:S20)</f>
        <v/>
      </c>
      <c r="U20" s="3">
        <f>IF(P20&lt;8,"USTED ESTÁ AL DÍA","USTED NO ESTÁ AL DÍA")</f>
        <v/>
      </c>
      <c r="V20" s="3" t="inlineStr">
        <is>
          <t>PAGO PRESENCIAL:  05/06 de 4-6 pm (LOCAL DEL PUEBLO), PAGO YAPE: 948 227 636</t>
        </is>
      </c>
      <c r="Y20">
        <f>T20+W20+X20</f>
        <v/>
      </c>
    </row>
    <row r="21" hidden="1" ht="15.75" customHeight="1" s="4">
      <c r="A21" s="3" t="n">
        <v>16915</v>
      </c>
      <c r="B21" s="3" t="inlineStr">
        <is>
          <t>11/04/2026 al 10/05/2026</t>
        </is>
      </c>
      <c r="C21" s="2" t="n">
        <v>46179</v>
      </c>
      <c r="D21" s="2" t="n">
        <v>46174</v>
      </c>
      <c r="E21" s="2" t="n">
        <v>46122</v>
      </c>
      <c r="F21" s="2" t="n">
        <v>46152</v>
      </c>
      <c r="G21" t="inlineStr">
        <is>
          <t>WASHINTON MEDRANO MALLMA</t>
        </is>
      </c>
      <c r="H21" t="inlineStr">
        <is>
          <t>A1</t>
        </is>
      </c>
      <c r="I21" t="inlineStr">
        <is>
          <t>5</t>
        </is>
      </c>
      <c r="J21" t="n">
        <v>1221</v>
      </c>
      <c r="K21" t="n">
        <v>1229</v>
      </c>
      <c r="L21">
        <f>K21-J21</f>
        <v/>
      </c>
      <c r="M21" t="n">
        <v>8</v>
      </c>
      <c r="N21">
        <f>IF(L21&lt;&gt;M21,1,0)</f>
        <v/>
      </c>
      <c r="O21" t="n">
        <v>8</v>
      </c>
      <c r="S21" t="n">
        <v>3</v>
      </c>
      <c r="T21" s="3">
        <f>SUM(O21:S21)</f>
        <v/>
      </c>
      <c r="U21" s="3">
        <f>IF(P21&lt;8,"USTED ESTÁ AL DÍA","USTED NO ESTÁ AL DÍA")</f>
        <v/>
      </c>
      <c r="V21" s="3" t="inlineStr">
        <is>
          <t>PAGO PRESENCIAL:  05/06 de 4-6 pm (LOCAL DEL PUEBLO), PAGO YAPE: 948 227 636</t>
        </is>
      </c>
      <c r="Y21">
        <f>T21+W21+X21</f>
        <v/>
      </c>
    </row>
    <row r="22" hidden="1" ht="15.75" customHeight="1" s="4">
      <c r="A22" s="3" t="n">
        <v>16916</v>
      </c>
      <c r="B22" s="3" t="inlineStr">
        <is>
          <t>11/04/2026 al 10/05/2026</t>
        </is>
      </c>
      <c r="C22" s="2" t="n">
        <v>46179</v>
      </c>
      <c r="D22" s="2" t="n">
        <v>46174</v>
      </c>
      <c r="E22" s="2" t="n">
        <v>46122</v>
      </c>
      <c r="F22" s="2" t="n">
        <v>46152</v>
      </c>
      <c r="G22" t="inlineStr">
        <is>
          <t>ALAN GARCIA ZORRILLA</t>
        </is>
      </c>
      <c r="H22" t="inlineStr">
        <is>
          <t>A1</t>
        </is>
      </c>
      <c r="I22" t="inlineStr">
        <is>
          <t>6</t>
        </is>
      </c>
      <c r="J22" t="n">
        <v>285</v>
      </c>
      <c r="K22" t="n">
        <v>292</v>
      </c>
      <c r="L22">
        <f>K22-J22</f>
        <v/>
      </c>
      <c r="M22" t="n">
        <v>7</v>
      </c>
      <c r="N22">
        <f>IF(L22&lt;&gt;M22,1,0)</f>
        <v/>
      </c>
      <c r="O22" t="n">
        <v>7</v>
      </c>
      <c r="S22" t="n">
        <v>3</v>
      </c>
      <c r="T22" s="3">
        <f>SUM(O22:S22)</f>
        <v/>
      </c>
      <c r="U22" s="3">
        <f>IF(P22&lt;8,"USTED ESTÁ AL DÍA","USTED NO ESTÁ AL DÍA")</f>
        <v/>
      </c>
      <c r="V22" s="3" t="inlineStr">
        <is>
          <t>PAGO PRESENCIAL:  05/06 de 4-6 pm (LOCAL DEL PUEBLO), PAGO YAPE: 948 227 636</t>
        </is>
      </c>
      <c r="W22" t="n">
        <v>20</v>
      </c>
      <c r="Y22">
        <f>T22+W22+X22</f>
        <v/>
      </c>
    </row>
    <row r="23" hidden="1" ht="15.75" customHeight="1" s="4">
      <c r="A23" s="3" t="n">
        <v>16917</v>
      </c>
      <c r="B23" s="3" t="inlineStr">
        <is>
          <t>11/04/2026 al 10/05/2026</t>
        </is>
      </c>
      <c r="C23" s="2" t="n">
        <v>46179</v>
      </c>
      <c r="D23" s="2" t="n">
        <v>46174</v>
      </c>
      <c r="E23" s="2" t="n">
        <v>46122</v>
      </c>
      <c r="F23" s="2" t="n">
        <v>46152</v>
      </c>
      <c r="G23" t="inlineStr">
        <is>
          <t>ERIKA MARIBEL AMBROSIO</t>
        </is>
      </c>
      <c r="H23" t="inlineStr">
        <is>
          <t>A1</t>
        </is>
      </c>
      <c r="I23" t="inlineStr">
        <is>
          <t>7</t>
        </is>
      </c>
      <c r="J23" t="n">
        <v>460</v>
      </c>
      <c r="K23" t="n">
        <v>466</v>
      </c>
      <c r="L23">
        <f>K23-J23</f>
        <v/>
      </c>
      <c r="M23" t="n">
        <v>6</v>
      </c>
      <c r="N23">
        <f>IF(L23&lt;&gt;M23,1,0)</f>
        <v/>
      </c>
      <c r="O23" t="n">
        <v>6</v>
      </c>
      <c r="S23" t="n">
        <v>3</v>
      </c>
      <c r="T23" s="3">
        <f>SUM(O23:S23)</f>
        <v/>
      </c>
      <c r="U23" s="3">
        <f>IF(P23&lt;8,"USTED ESTÁ AL DÍA","USTED NO ESTÁ AL DÍA")</f>
        <v/>
      </c>
      <c r="V23" s="3" t="inlineStr">
        <is>
          <t>PAGO PRESENCIAL:  05/06 de 4-6 pm (LOCAL DEL PUEBLO), PAGO YAPE: 948 227 636</t>
        </is>
      </c>
      <c r="W23" t="n">
        <v>50</v>
      </c>
      <c r="X23" t="n">
        <v>50</v>
      </c>
      <c r="Y23">
        <f>T23+W23+X23</f>
        <v/>
      </c>
    </row>
    <row r="24" hidden="1" ht="15.75" customHeight="1" s="4">
      <c r="A24" s="3" t="n">
        <v>16918</v>
      </c>
      <c r="B24" s="3" t="inlineStr">
        <is>
          <t>11/04/2026 al 10/05/2026</t>
        </is>
      </c>
      <c r="C24" s="2" t="n">
        <v>46179</v>
      </c>
      <c r="D24" s="2" t="n">
        <v>46174</v>
      </c>
      <c r="E24" s="2" t="n">
        <v>46122</v>
      </c>
      <c r="F24" s="2" t="n">
        <v>46152</v>
      </c>
      <c r="G24" t="inlineStr">
        <is>
          <t>TEODORO AVILA LOPEZ</t>
        </is>
      </c>
      <c r="H24" t="inlineStr">
        <is>
          <t>A1</t>
        </is>
      </c>
      <c r="I24" t="inlineStr">
        <is>
          <t>11</t>
        </is>
      </c>
      <c r="J24" t="n">
        <v>77</v>
      </c>
      <c r="K24" t="n">
        <v>79</v>
      </c>
      <c r="L24">
        <f>K24-J24</f>
        <v/>
      </c>
      <c r="M24" t="n">
        <v>5</v>
      </c>
      <c r="O24" t="n">
        <v>5</v>
      </c>
      <c r="S24" t="n">
        <v>3</v>
      </c>
      <c r="T24" s="3">
        <f>SUM(O24:S24)</f>
        <v/>
      </c>
      <c r="U24" s="3">
        <f>IF(P24&lt;8,"USTED ESTÁ AL DÍA","USTED NO ESTÁ AL DÍA")</f>
        <v/>
      </c>
      <c r="V24" s="3" t="inlineStr">
        <is>
          <t>PAGO PRESENCIAL:  05/06 de 4-6 pm (LOCAL DEL PUEBLO), PAGO YAPE: 948 227 636</t>
        </is>
      </c>
      <c r="Y24">
        <f>T24+W24+X24</f>
        <v/>
      </c>
    </row>
    <row r="25" hidden="1" ht="15.75" customHeight="1" s="4">
      <c r="A25" s="3" t="n">
        <v>16919</v>
      </c>
      <c r="B25" s="3" t="inlineStr">
        <is>
          <t>11/04/2026 al 10/05/2026</t>
        </is>
      </c>
      <c r="C25" s="2" t="n">
        <v>46179</v>
      </c>
      <c r="D25" s="2" t="n">
        <v>46174</v>
      </c>
      <c r="E25" s="2" t="n">
        <v>46122</v>
      </c>
      <c r="F25" s="2" t="n">
        <v>46152</v>
      </c>
      <c r="G25" t="inlineStr">
        <is>
          <t>DIEGO LÓPEZ MUÑOZ</t>
        </is>
      </c>
      <c r="H25" t="inlineStr">
        <is>
          <t>A1</t>
        </is>
      </c>
      <c r="I25" t="inlineStr">
        <is>
          <t>12</t>
        </is>
      </c>
      <c r="J25" t="n">
        <v>2</v>
      </c>
      <c r="K25" t="n">
        <v>2</v>
      </c>
      <c r="L25">
        <f>K25-J25</f>
        <v/>
      </c>
      <c r="M25" t="n">
        <v>5</v>
      </c>
      <c r="O25" t="n">
        <v>5</v>
      </c>
      <c r="S25" t="n">
        <v>3</v>
      </c>
      <c r="T25" s="3">
        <f>SUM(O25:S25)</f>
        <v/>
      </c>
      <c r="U25" s="3">
        <f>IF(P25&lt;8,"USTED ESTÁ AL DÍA","USTED NO ESTÁ AL DÍA")</f>
        <v/>
      </c>
      <c r="V25" s="3" t="inlineStr">
        <is>
          <t>PAGO PRESENCIAL:  05/06 de 4-6 pm (LOCAL DEL PUEBLO), PAGO YAPE: 948 227 636</t>
        </is>
      </c>
      <c r="W25" t="n">
        <v>80</v>
      </c>
      <c r="Y25">
        <f>T25+W25+X25</f>
        <v/>
      </c>
    </row>
    <row r="26" hidden="1" ht="15.75" customHeight="1" s="4">
      <c r="A26" s="3" t="n">
        <v>16920</v>
      </c>
      <c r="B26" s="3" t="inlineStr">
        <is>
          <t>11/04/2026 al 10/05/2026</t>
        </is>
      </c>
      <c r="C26" s="2" t="n">
        <v>46179</v>
      </c>
      <c r="D26" s="2" t="n">
        <v>46174</v>
      </c>
      <c r="E26" s="2" t="n">
        <v>46122</v>
      </c>
      <c r="F26" s="2" t="n">
        <v>46152</v>
      </c>
      <c r="G26" t="inlineStr">
        <is>
          <t>REIMI VILLANUEVA ALEGRIA</t>
        </is>
      </c>
      <c r="H26" t="inlineStr">
        <is>
          <t>A1</t>
        </is>
      </c>
      <c r="I26" t="inlineStr">
        <is>
          <t>13</t>
        </is>
      </c>
      <c r="J26" t="n">
        <v>57</v>
      </c>
      <c r="K26" t="n">
        <v>57</v>
      </c>
      <c r="L26">
        <f>K26-J26</f>
        <v/>
      </c>
      <c r="M26" t="n">
        <v>5</v>
      </c>
      <c r="O26" t="n">
        <v>5</v>
      </c>
      <c r="S26" t="n">
        <v>3</v>
      </c>
      <c r="T26" s="3">
        <f>SUM(O26:S26)</f>
        <v/>
      </c>
      <c r="U26" s="3">
        <f>IF(P26&lt;8,"USTED ESTÁ AL DÍA","USTED NO ESTÁ AL DÍA")</f>
        <v/>
      </c>
      <c r="V26" s="3" t="inlineStr">
        <is>
          <t>PAGO PRESENCIAL:  05/06 de 4-6 pm (LOCAL DEL PUEBLO), PAGO YAPE: 948 227 636</t>
        </is>
      </c>
      <c r="W26" t="n">
        <v>20</v>
      </c>
      <c r="Y26">
        <f>T26+W26+X26</f>
        <v/>
      </c>
    </row>
    <row r="27" hidden="1" ht="15.75" customHeight="1" s="4">
      <c r="A27" s="3" t="n">
        <v>16921</v>
      </c>
      <c r="B27" s="3" t="inlineStr">
        <is>
          <t>11/04/2026 al 10/05/2026</t>
        </is>
      </c>
      <c r="C27" s="2" t="n">
        <v>46179</v>
      </c>
      <c r="D27" s="2" t="n">
        <v>46174</v>
      </c>
      <c r="E27" s="2" t="n">
        <v>46122</v>
      </c>
      <c r="F27" s="2" t="n">
        <v>46152</v>
      </c>
      <c r="G27" t="inlineStr">
        <is>
          <t>LILIANA REQUEZ MENDOZA</t>
        </is>
      </c>
      <c r="H27" t="inlineStr">
        <is>
          <t>A1</t>
        </is>
      </c>
      <c r="I27" t="inlineStr">
        <is>
          <t>10</t>
        </is>
      </c>
      <c r="L27">
        <f>K27-J27</f>
        <v/>
      </c>
      <c r="S27" t="n">
        <v>0</v>
      </c>
      <c r="T27" s="3">
        <f>SUM(O27:S27)</f>
        <v/>
      </c>
      <c r="U27" s="3">
        <f>IF(P27&lt;8,"USTED ESTÁ AL DÍA","USTED NO ESTÁ AL DÍA")</f>
        <v/>
      </c>
      <c r="V27" s="3" t="inlineStr">
        <is>
          <t>PAGO PRESENCIAL:  05/06 de 4-6 pm (LOCAL DEL PUEBLO), PAGO YAPE: 948 227 636</t>
        </is>
      </c>
      <c r="W27" t="n">
        <v>30</v>
      </c>
      <c r="X27" t="n">
        <v>75</v>
      </c>
      <c r="Y27">
        <f>T27+W27+X27</f>
        <v/>
      </c>
    </row>
    <row r="28" hidden="1" ht="15.75" customHeight="1" s="4">
      <c r="A28" s="3" t="n">
        <v>16922</v>
      </c>
      <c r="B28" s="3" t="inlineStr">
        <is>
          <t>11/04/2026 al 10/05/2026</t>
        </is>
      </c>
      <c r="C28" s="2" t="n">
        <v>46179</v>
      </c>
      <c r="D28" s="2" t="n">
        <v>46174</v>
      </c>
      <c r="E28" s="2" t="n">
        <v>46122</v>
      </c>
      <c r="F28" s="2" t="n">
        <v>46152</v>
      </c>
      <c r="G28" t="inlineStr">
        <is>
          <t>ROQUE GAUDENCIO SALES VEGA</t>
        </is>
      </c>
      <c r="H28" t="inlineStr">
        <is>
          <t>A1</t>
        </is>
      </c>
      <c r="I28" t="inlineStr">
        <is>
          <t>8</t>
        </is>
      </c>
      <c r="L28">
        <f>K28-J28</f>
        <v/>
      </c>
      <c r="S28" t="n">
        <v>0</v>
      </c>
      <c r="T28" s="3">
        <f>SUM(O28:S28)</f>
        <v/>
      </c>
      <c r="U28" s="3">
        <f>IF(P28&lt;8,"USTED ESTÁ AL DÍA","USTED NO ESTÁ AL DÍA")</f>
        <v/>
      </c>
      <c r="V28" s="3" t="inlineStr">
        <is>
          <t>PAGO PRESENCIAL:  05/06 de 4-6 pm (LOCAL DEL PUEBLO), PAGO YAPE: 948 227 636</t>
        </is>
      </c>
      <c r="W28" t="n">
        <v>30</v>
      </c>
      <c r="X28" t="n">
        <v>50</v>
      </c>
      <c r="Y28">
        <f>T28+W28+X28</f>
        <v/>
      </c>
    </row>
    <row r="29" hidden="1" ht="15.75" customHeight="1" s="4">
      <c r="A29" s="3" t="n">
        <v>16923</v>
      </c>
      <c r="B29" s="3" t="inlineStr">
        <is>
          <t>11/04/2026 al 10/05/2026</t>
        </is>
      </c>
      <c r="C29" s="2" t="n">
        <v>46179</v>
      </c>
      <c r="D29" s="2" t="n">
        <v>46174</v>
      </c>
      <c r="E29" s="2" t="n">
        <v>46122</v>
      </c>
      <c r="F29" s="2" t="n">
        <v>46152</v>
      </c>
      <c r="G29" t="inlineStr">
        <is>
          <t>ENRIQUE TRUJILLO LOERA</t>
        </is>
      </c>
      <c r="H29" t="inlineStr">
        <is>
          <t>A1</t>
        </is>
      </c>
      <c r="I29" t="inlineStr">
        <is>
          <t>9</t>
        </is>
      </c>
      <c r="L29">
        <f>K29-J29</f>
        <v/>
      </c>
      <c r="S29" t="n">
        <v>0</v>
      </c>
      <c r="T29" s="3">
        <f>SUM(O29:S29)</f>
        <v/>
      </c>
      <c r="U29" s="3">
        <f>IF(P29&lt;8,"USTED ESTÁ AL DÍA","USTED NO ESTÁ AL DÍA")</f>
        <v/>
      </c>
      <c r="V29" s="3" t="inlineStr">
        <is>
          <t>PAGO PRESENCIAL:  05/06 de 4-6 pm (LOCAL DEL PUEBLO), PAGO YAPE: 948 227 636</t>
        </is>
      </c>
      <c r="W29" t="n">
        <v>20</v>
      </c>
      <c r="Y29">
        <f>T29+W29+X29</f>
        <v/>
      </c>
    </row>
    <row r="30" hidden="1" ht="15.75" customHeight="1" s="4">
      <c r="A30" s="3" t="n">
        <v>16924</v>
      </c>
      <c r="B30" s="3" t="inlineStr">
        <is>
          <t>11/04/2026 al 10/05/2026</t>
        </is>
      </c>
      <c r="C30" s="2" t="n">
        <v>46179</v>
      </c>
      <c r="D30" s="2" t="n">
        <v>46174</v>
      </c>
      <c r="E30" s="2" t="n">
        <v>46122</v>
      </c>
      <c r="F30" s="2" t="n">
        <v>46152</v>
      </c>
      <c r="G30" t="inlineStr">
        <is>
          <t>ROSALINA OLIMPIA CIRIACO SOTELO</t>
        </is>
      </c>
      <c r="H30" t="inlineStr">
        <is>
          <t>B</t>
        </is>
      </c>
      <c r="I30" t="inlineStr">
        <is>
          <t>8</t>
        </is>
      </c>
      <c r="J30" t="n">
        <v>39</v>
      </c>
      <c r="K30" t="n">
        <v>54</v>
      </c>
      <c r="L30">
        <f>K30-J30</f>
        <v/>
      </c>
      <c r="M30" t="n">
        <v>15</v>
      </c>
      <c r="N30">
        <f>IF(L30&lt;&gt;M30,1,0)</f>
        <v/>
      </c>
      <c r="O30" t="n">
        <v>15</v>
      </c>
      <c r="P30" t="n">
        <v>21</v>
      </c>
      <c r="R30" t="n">
        <v>25</v>
      </c>
      <c r="S30" t="n">
        <v>3</v>
      </c>
      <c r="T30" s="3">
        <f>SUM(O30:S30)</f>
        <v/>
      </c>
      <c r="U30" s="3">
        <f>IF(P30&lt;8,"USTED ESTÁ AL DÍA","USTED NO ESTÁ AL DÍA")</f>
        <v/>
      </c>
      <c r="V30" s="3" t="inlineStr">
        <is>
          <t>PAGO PRESENCIAL:  05/06 de 4-6 pm (LOCAL DEL PUEBLO), PAGO YAPE: 948 227 636</t>
        </is>
      </c>
      <c r="W30" t="n">
        <v>30</v>
      </c>
      <c r="X30" t="n">
        <v>50</v>
      </c>
      <c r="Y30">
        <f>T30+W30+X30</f>
        <v/>
      </c>
    </row>
    <row r="31" hidden="1" ht="15.75" customHeight="1" s="4">
      <c r="A31" s="3" t="n">
        <v>16925</v>
      </c>
      <c r="B31" s="3" t="inlineStr">
        <is>
          <t>11/04/2026 al 10/05/2026</t>
        </is>
      </c>
      <c r="C31" s="2" t="n">
        <v>46179</v>
      </c>
      <c r="D31" s="2" t="n">
        <v>46174</v>
      </c>
      <c r="E31" s="2" t="n">
        <v>46122</v>
      </c>
      <c r="F31" s="2" t="n">
        <v>46152</v>
      </c>
      <c r="G31" t="inlineStr">
        <is>
          <t>MARCELINO FELIX VILLAFANA PALLACA</t>
        </is>
      </c>
      <c r="H31" t="inlineStr">
        <is>
          <t>B</t>
        </is>
      </c>
      <c r="I31" t="inlineStr">
        <is>
          <t>10</t>
        </is>
      </c>
      <c r="J31" t="n">
        <v>421</v>
      </c>
      <c r="K31" t="n">
        <v>426</v>
      </c>
      <c r="L31">
        <f>K31-J31</f>
        <v/>
      </c>
      <c r="M31" t="n">
        <v>5</v>
      </c>
      <c r="O31" t="n">
        <v>5</v>
      </c>
      <c r="P31" t="n">
        <v>25</v>
      </c>
      <c r="S31" t="n">
        <v>3</v>
      </c>
      <c r="T31" s="3">
        <f>SUM(O31:S31)</f>
        <v/>
      </c>
      <c r="U31" s="3">
        <f>IF(P31&lt;8,"USTED ESTÁ AL DÍA","USTED NO ESTÁ AL DÍA")</f>
        <v/>
      </c>
      <c r="V31" s="3" t="inlineStr">
        <is>
          <t>PAGO PRESENCIAL:  05/06 de 4-6 pm (LOCAL DEL PUEBLO), PAGO YAPE: 948 227 636</t>
        </is>
      </c>
      <c r="W31" t="n">
        <v>20</v>
      </c>
      <c r="Y31">
        <f>T31+W31+X31</f>
        <v/>
      </c>
    </row>
    <row r="32" hidden="1" ht="15.75" customHeight="1" s="4">
      <c r="A32" s="3" t="n">
        <v>16926</v>
      </c>
      <c r="B32" s="3" t="inlineStr">
        <is>
          <t>11/04/2026 al 10/05/2026</t>
        </is>
      </c>
      <c r="C32" s="2" t="n">
        <v>46179</v>
      </c>
      <c r="D32" s="2" t="n">
        <v>46174</v>
      </c>
      <c r="E32" s="2" t="n">
        <v>46122</v>
      </c>
      <c r="F32" s="2" t="n">
        <v>46152</v>
      </c>
      <c r="G32" t="inlineStr">
        <is>
          <t>TEOFILO BRUNO RAMOS DE LA CRUZ</t>
        </is>
      </c>
      <c r="H32" t="inlineStr">
        <is>
          <t>B</t>
        </is>
      </c>
      <c r="I32" t="inlineStr">
        <is>
          <t>12</t>
        </is>
      </c>
      <c r="J32" t="n">
        <v>14</v>
      </c>
      <c r="K32" t="n">
        <v>19</v>
      </c>
      <c r="L32">
        <f>K32-J32</f>
        <v/>
      </c>
      <c r="M32" t="n">
        <v>5</v>
      </c>
      <c r="O32" t="n">
        <v>5</v>
      </c>
      <c r="P32" t="n">
        <v>8</v>
      </c>
      <c r="S32" t="n">
        <v>3</v>
      </c>
      <c r="T32" s="3">
        <f>SUM(O32:S32)</f>
        <v/>
      </c>
      <c r="U32" s="3">
        <f>IF(P32&lt;8,"USTED ESTÁ AL DÍA","USTED NO ESTÁ AL DÍA")</f>
        <v/>
      </c>
      <c r="V32" s="3" t="inlineStr">
        <is>
          <t>PAGO PRESENCIAL:  05/06 de 4-6 pm (LOCAL DEL PUEBLO), PAGO YAPE: 948 227 636</t>
        </is>
      </c>
      <c r="W32" t="n">
        <v>30</v>
      </c>
      <c r="Y32">
        <f>T32+W32+X32</f>
        <v/>
      </c>
    </row>
    <row r="33" hidden="1" ht="15.75" customHeight="1" s="4">
      <c r="A33" s="3" t="n">
        <v>16927</v>
      </c>
      <c r="B33" s="3" t="inlineStr">
        <is>
          <t>11/04/2026 al 10/05/2026</t>
        </is>
      </c>
      <c r="C33" s="2" t="n">
        <v>46179</v>
      </c>
      <c r="D33" s="2" t="n">
        <v>46174</v>
      </c>
      <c r="E33" s="2" t="n">
        <v>46122</v>
      </c>
      <c r="F33" s="2" t="n">
        <v>46152</v>
      </c>
      <c r="G33" t="inlineStr">
        <is>
          <t>BACILIO UTRILLA FRANCISCO</t>
        </is>
      </c>
      <c r="H33" t="inlineStr">
        <is>
          <t>B</t>
        </is>
      </c>
      <c r="I33" t="inlineStr">
        <is>
          <t>1</t>
        </is>
      </c>
      <c r="J33" t="n">
        <v>23</v>
      </c>
      <c r="K33" t="n">
        <v>32</v>
      </c>
      <c r="L33">
        <f>K33-J33</f>
        <v/>
      </c>
      <c r="M33" t="n">
        <v>9</v>
      </c>
      <c r="N33">
        <f>IF(L33&lt;&gt;M33,1,0)</f>
        <v/>
      </c>
      <c r="O33" t="n">
        <v>9</v>
      </c>
      <c r="S33" t="n">
        <v>3</v>
      </c>
      <c r="T33" s="3">
        <f>SUM(O33:S33)</f>
        <v/>
      </c>
      <c r="U33" s="3">
        <f>IF(P33&lt;8,"USTED ESTÁ AL DÍA","USTED NO ESTÁ AL DÍA")</f>
        <v/>
      </c>
      <c r="V33" s="3" t="inlineStr">
        <is>
          <t>PAGO PRESENCIAL:  05/06 de 4-6 pm (LOCAL DEL PUEBLO), PAGO YAPE: 948 227 636</t>
        </is>
      </c>
      <c r="W33" t="n">
        <v>50</v>
      </c>
      <c r="Y33">
        <f>T33+W33+X33</f>
        <v/>
      </c>
    </row>
    <row r="34" hidden="1" ht="15.75" customHeight="1" s="4">
      <c r="A34" s="3" t="n">
        <v>16928</v>
      </c>
      <c r="B34" s="3" t="inlineStr">
        <is>
          <t>11/04/2026 al 10/05/2026</t>
        </is>
      </c>
      <c r="C34" s="2" t="n">
        <v>46179</v>
      </c>
      <c r="D34" s="2" t="n">
        <v>46174</v>
      </c>
      <c r="E34" s="2" t="n">
        <v>46122</v>
      </c>
      <c r="F34" s="2" t="n">
        <v>46152</v>
      </c>
      <c r="G34" t="inlineStr">
        <is>
          <t>ESTEBAN REYNALDO ROSALES</t>
        </is>
      </c>
      <c r="H34" t="inlineStr">
        <is>
          <t>B</t>
        </is>
      </c>
      <c r="I34" t="inlineStr">
        <is>
          <t>2</t>
        </is>
      </c>
      <c r="J34" t="n">
        <v>26</v>
      </c>
      <c r="K34" t="n">
        <v>36</v>
      </c>
      <c r="L34">
        <f>K34-J34</f>
        <v/>
      </c>
      <c r="M34" t="n">
        <v>10</v>
      </c>
      <c r="N34">
        <f>IF(L34&lt;&gt;M34,1,0)</f>
        <v/>
      </c>
      <c r="O34" t="n">
        <v>10</v>
      </c>
      <c r="R34" t="n">
        <v>25</v>
      </c>
      <c r="S34" t="n">
        <v>3</v>
      </c>
      <c r="T34" s="3">
        <f>SUM(O34:S34)</f>
        <v/>
      </c>
      <c r="U34" s="3">
        <f>IF(P34&lt;8,"USTED ESTÁ AL DÍA","USTED NO ESTÁ AL DÍA")</f>
        <v/>
      </c>
      <c r="V34" s="3" t="inlineStr">
        <is>
          <t>PAGO PRESENCIAL:  05/06 de 4-6 pm (LOCAL DEL PUEBLO), PAGO YAPE: 948 227 636</t>
        </is>
      </c>
      <c r="W34" t="n">
        <v>50</v>
      </c>
      <c r="Y34">
        <f>T34+W34+X34</f>
        <v/>
      </c>
    </row>
    <row r="35" hidden="1" ht="15.75" customHeight="1" s="4">
      <c r="A35" s="3" t="n">
        <v>16929</v>
      </c>
      <c r="B35" s="3" t="inlineStr">
        <is>
          <t>11/04/2026 al 10/05/2026</t>
        </is>
      </c>
      <c r="C35" s="2" t="n">
        <v>46179</v>
      </c>
      <c r="D35" s="2" t="n">
        <v>46174</v>
      </c>
      <c r="E35" s="2" t="n">
        <v>46122</v>
      </c>
      <c r="F35" s="2" t="n">
        <v>46152</v>
      </c>
      <c r="G35" t="inlineStr">
        <is>
          <t>ELEUTERIA DOMITILA PARIAMACHI DE PAZ</t>
        </is>
      </c>
      <c r="H35" t="inlineStr">
        <is>
          <t>B</t>
        </is>
      </c>
      <c r="I35" t="inlineStr">
        <is>
          <t>16</t>
        </is>
      </c>
      <c r="J35" t="n">
        <v>35</v>
      </c>
      <c r="K35" t="n">
        <v>35</v>
      </c>
      <c r="L35">
        <f>K35-J35</f>
        <v/>
      </c>
      <c r="M35" t="n">
        <v>5</v>
      </c>
      <c r="O35" t="n">
        <v>5</v>
      </c>
      <c r="P35" t="n">
        <v>16</v>
      </c>
      <c r="Q35" t="n">
        <v>40</v>
      </c>
      <c r="S35" t="n">
        <v>3</v>
      </c>
      <c r="T35" s="3">
        <f>SUM(O35:S35)</f>
        <v/>
      </c>
      <c r="U35" s="3">
        <f>IF(P35&lt;8,"USTED ESTÁ AL DÍA","USTED NO ESTÁ AL DÍA")</f>
        <v/>
      </c>
      <c r="V35" s="3" t="inlineStr">
        <is>
          <t>PAGO PRESENCIAL:  05/06 de 4-6 pm (LOCAL DEL PUEBLO), PAGO YAPE: 948 227 636</t>
        </is>
      </c>
      <c r="W35" t="n">
        <v>30</v>
      </c>
      <c r="X35" t="n">
        <v>50</v>
      </c>
      <c r="Y35">
        <f>T35+W35+X35</f>
        <v/>
      </c>
    </row>
    <row r="36" hidden="1" ht="15.75" customHeight="1" s="4">
      <c r="A36" s="3" t="n">
        <v>16930</v>
      </c>
      <c r="B36" s="3" t="inlineStr">
        <is>
          <t>11/04/2026 al 10/05/2026</t>
        </is>
      </c>
      <c r="C36" s="2" t="n">
        <v>46179</v>
      </c>
      <c r="D36" s="2" t="n">
        <v>46174</v>
      </c>
      <c r="E36" s="2" t="n">
        <v>46122</v>
      </c>
      <c r="F36" s="2" t="n">
        <v>46152</v>
      </c>
      <c r="G36" t="inlineStr">
        <is>
          <t>EDUARDO REYNALDO ROSALES</t>
        </is>
      </c>
      <c r="H36" t="inlineStr">
        <is>
          <t>B</t>
        </is>
      </c>
      <c r="I36" t="inlineStr">
        <is>
          <t>3</t>
        </is>
      </c>
      <c r="J36" t="n">
        <v>846</v>
      </c>
      <c r="K36" t="n">
        <v>854</v>
      </c>
      <c r="L36">
        <f>K36-J36</f>
        <v/>
      </c>
      <c r="M36" t="n">
        <v>8</v>
      </c>
      <c r="N36">
        <f>IF(L36&lt;&gt;M36,1,0)</f>
        <v/>
      </c>
      <c r="O36" t="n">
        <v>8</v>
      </c>
      <c r="S36" t="n">
        <v>3</v>
      </c>
      <c r="T36" s="3">
        <f>SUM(O36:S36)</f>
        <v/>
      </c>
      <c r="U36" s="3">
        <f>IF(P36&lt;8,"USTED ESTÁ AL DÍA","USTED NO ESTÁ AL DÍA")</f>
        <v/>
      </c>
      <c r="V36" s="3" t="inlineStr">
        <is>
          <t>PAGO PRESENCIAL:  05/06 de 4-6 pm (LOCAL DEL PUEBLO), PAGO YAPE: 948 227 636</t>
        </is>
      </c>
      <c r="Y36">
        <f>T36+W36+X36</f>
        <v/>
      </c>
    </row>
    <row r="37" hidden="1" ht="15.75" customHeight="1" s="4">
      <c r="A37" s="3" t="n">
        <v>16931</v>
      </c>
      <c r="B37" s="3" t="inlineStr">
        <is>
          <t>11/04/2026 al 10/05/2026</t>
        </is>
      </c>
      <c r="C37" s="2" t="n">
        <v>46179</v>
      </c>
      <c r="D37" s="2" t="n">
        <v>46174</v>
      </c>
      <c r="E37" s="2" t="n">
        <v>46122</v>
      </c>
      <c r="F37" s="2" t="n">
        <v>46152</v>
      </c>
      <c r="G37" t="inlineStr">
        <is>
          <t>MELINA J. JUAREZ TOLEDO DE MORENO</t>
        </is>
      </c>
      <c r="H37" t="inlineStr">
        <is>
          <t>B</t>
        </is>
      </c>
      <c r="I37" t="inlineStr">
        <is>
          <t>4</t>
        </is>
      </c>
      <c r="J37" t="n">
        <v>655</v>
      </c>
      <c r="K37" t="n">
        <v>668</v>
      </c>
      <c r="L37">
        <f>K37-J37</f>
        <v/>
      </c>
      <c r="M37" t="n">
        <v>13</v>
      </c>
      <c r="N37">
        <f>IF(L37&lt;&gt;M37,1,0)</f>
        <v/>
      </c>
      <c r="O37" t="n">
        <v>13</v>
      </c>
      <c r="S37" t="n">
        <v>3</v>
      </c>
      <c r="T37" s="3">
        <f>SUM(O37:S37)</f>
        <v/>
      </c>
      <c r="U37" s="3">
        <f>IF(P37&lt;8,"USTED ESTÁ AL DÍA","USTED NO ESTÁ AL DÍA")</f>
        <v/>
      </c>
      <c r="V37" s="3" t="inlineStr">
        <is>
          <t>PAGO PRESENCIAL:  05/06 de 4-6 pm (LOCAL DEL PUEBLO), PAGO YAPE: 948 227 636</t>
        </is>
      </c>
      <c r="W37" t="n">
        <v>30</v>
      </c>
      <c r="X37" t="n">
        <v>50</v>
      </c>
      <c r="Y37">
        <f>T37+W37+X37</f>
        <v/>
      </c>
    </row>
    <row r="38" hidden="1" ht="15.75" customHeight="1" s="4">
      <c r="A38" s="3" t="n">
        <v>16932</v>
      </c>
      <c r="B38" s="3" t="inlineStr">
        <is>
          <t>11/04/2026 al 10/05/2026</t>
        </is>
      </c>
      <c r="C38" s="2" t="n">
        <v>46179</v>
      </c>
      <c r="D38" s="2" t="n">
        <v>46174</v>
      </c>
      <c r="E38" s="2" t="n">
        <v>46122</v>
      </c>
      <c r="F38" s="2" t="n">
        <v>46152</v>
      </c>
      <c r="G38" t="inlineStr">
        <is>
          <t>POMPEYO CELESTINO LLIUYA</t>
        </is>
      </c>
      <c r="H38" t="inlineStr">
        <is>
          <t>B</t>
        </is>
      </c>
      <c r="I38" t="inlineStr">
        <is>
          <t>5</t>
        </is>
      </c>
      <c r="J38" t="n">
        <v>100</v>
      </c>
      <c r="K38" t="n">
        <v>141</v>
      </c>
      <c r="L38">
        <f>K38-J38</f>
        <v/>
      </c>
      <c r="M38" t="n">
        <v>41</v>
      </c>
      <c r="N38">
        <f>IF(L38&lt;&gt;M38,1,0)</f>
        <v/>
      </c>
      <c r="O38" t="n">
        <v>41</v>
      </c>
      <c r="Q38" t="n">
        <v>40</v>
      </c>
      <c r="R38" t="n">
        <v>25</v>
      </c>
      <c r="S38" t="n">
        <v>3</v>
      </c>
      <c r="T38" s="3">
        <f>SUM(O38:S38)</f>
        <v/>
      </c>
      <c r="U38" s="3">
        <f>IF(P38&lt;8,"USTED ESTÁ AL DÍA","USTED NO ESTÁ AL DÍA")</f>
        <v/>
      </c>
      <c r="V38" s="3" t="inlineStr">
        <is>
          <t>PAGO PRESENCIAL:  05/06 de 4-6 pm (LOCAL DEL PUEBLO), PAGO YAPE: 948 227 636</t>
        </is>
      </c>
      <c r="W38" t="n">
        <v>50</v>
      </c>
      <c r="X38" t="n">
        <v>50</v>
      </c>
      <c r="Y38">
        <f>T38+W38+X38</f>
        <v/>
      </c>
    </row>
    <row r="39" hidden="1" ht="15.75" customHeight="1" s="4">
      <c r="A39" s="3" t="n">
        <v>16933</v>
      </c>
      <c r="B39" s="3" t="inlineStr">
        <is>
          <t>11/04/2026 al 10/05/2026</t>
        </is>
      </c>
      <c r="C39" s="2" t="n">
        <v>46179</v>
      </c>
      <c r="D39" s="2" t="n">
        <v>46174</v>
      </c>
      <c r="E39" s="2" t="n">
        <v>46122</v>
      </c>
      <c r="F39" s="2" t="n">
        <v>46152</v>
      </c>
      <c r="G39" t="inlineStr">
        <is>
          <t>JANET FERNANDEZ MINAYA</t>
        </is>
      </c>
      <c r="H39" t="inlineStr">
        <is>
          <t>B</t>
        </is>
      </c>
      <c r="I39" t="inlineStr">
        <is>
          <t>20</t>
        </is>
      </c>
      <c r="J39" t="n">
        <v>195</v>
      </c>
      <c r="K39" t="n">
        <v>201</v>
      </c>
      <c r="L39">
        <f>K39-J39</f>
        <v/>
      </c>
      <c r="M39" t="n">
        <v>6</v>
      </c>
      <c r="N39">
        <f>IF(L39&lt;&gt;M39,1,0)</f>
        <v/>
      </c>
      <c r="O39" t="n">
        <v>6</v>
      </c>
      <c r="P39" t="n">
        <v>11</v>
      </c>
      <c r="R39" t="n">
        <v>283</v>
      </c>
      <c r="S39" t="n">
        <v>3</v>
      </c>
      <c r="T39" s="3">
        <f>SUM(O39:S39)</f>
        <v/>
      </c>
      <c r="U39" s="3">
        <f>IF(P39&lt;8,"USTED ESTÁ AL DÍA","USTED NO ESTÁ AL DÍA")</f>
        <v/>
      </c>
      <c r="V39" s="3" t="inlineStr">
        <is>
          <t>PAGO PRESENCIAL:  05/06 de 4-6 pm (LOCAL DEL PUEBLO), PAGO YAPE: 948 227 636</t>
        </is>
      </c>
      <c r="W39" t="n">
        <v>50</v>
      </c>
      <c r="Y39">
        <f>T39+W39+X39</f>
        <v/>
      </c>
    </row>
    <row r="40" hidden="1" ht="15.75" customHeight="1" s="4">
      <c r="A40" s="3" t="n">
        <v>16934</v>
      </c>
      <c r="B40" s="3" t="inlineStr">
        <is>
          <t>11/04/2026 al 10/05/2026</t>
        </is>
      </c>
      <c r="C40" s="2" t="n">
        <v>46179</v>
      </c>
      <c r="D40" s="2" t="n">
        <v>46174</v>
      </c>
      <c r="E40" s="2" t="n">
        <v>46122</v>
      </c>
      <c r="F40" s="2" t="n">
        <v>46152</v>
      </c>
      <c r="G40" t="inlineStr">
        <is>
          <t>ROSA VICTORIA MILLA MORALES</t>
        </is>
      </c>
      <c r="H40" t="inlineStr">
        <is>
          <t>B</t>
        </is>
      </c>
      <c r="I40" t="inlineStr">
        <is>
          <t>6</t>
        </is>
      </c>
      <c r="J40" t="n">
        <v>62</v>
      </c>
      <c r="K40" t="n">
        <v>87</v>
      </c>
      <c r="L40">
        <f>K40-J40</f>
        <v/>
      </c>
      <c r="M40" t="n">
        <v>25</v>
      </c>
      <c r="N40">
        <f>IF(L40&lt;&gt;M40,1,0)</f>
        <v/>
      </c>
      <c r="O40" t="n">
        <v>25</v>
      </c>
      <c r="R40" t="n">
        <v>25</v>
      </c>
      <c r="S40" t="n">
        <v>3</v>
      </c>
      <c r="T40" s="3">
        <f>SUM(O40:S40)</f>
        <v/>
      </c>
      <c r="U40" s="3">
        <f>IF(P40&lt;8,"USTED ESTÁ AL DÍA","USTED NO ESTÁ AL DÍA")</f>
        <v/>
      </c>
      <c r="V40" s="3" t="inlineStr">
        <is>
          <t>PAGO PRESENCIAL:  05/06 de 4-6 pm (LOCAL DEL PUEBLO), PAGO YAPE: 948 227 636</t>
        </is>
      </c>
      <c r="W40" t="n">
        <v>30</v>
      </c>
      <c r="Y40">
        <f>T40+W40+X40</f>
        <v/>
      </c>
    </row>
    <row r="41" hidden="1" ht="15.75" customHeight="1" s="4">
      <c r="A41" s="3" t="n">
        <v>16935</v>
      </c>
      <c r="B41" s="3" t="inlineStr">
        <is>
          <t>11/04/2026 al 10/05/2026</t>
        </is>
      </c>
      <c r="C41" s="2" t="n">
        <v>46179</v>
      </c>
      <c r="D41" s="2" t="n">
        <v>46174</v>
      </c>
      <c r="E41" s="2" t="n">
        <v>46122</v>
      </c>
      <c r="F41" s="2" t="n">
        <v>46152</v>
      </c>
      <c r="G41" t="inlineStr">
        <is>
          <t>LIRIA PARIAMACHI DE PAZ</t>
        </is>
      </c>
      <c r="H41" t="inlineStr">
        <is>
          <t>B</t>
        </is>
      </c>
      <c r="I41" t="inlineStr">
        <is>
          <t>7</t>
        </is>
      </c>
      <c r="J41" t="n">
        <v>33</v>
      </c>
      <c r="K41" t="n">
        <v>49</v>
      </c>
      <c r="L41">
        <f>K41-J41</f>
        <v/>
      </c>
      <c r="M41" t="n">
        <v>16</v>
      </c>
      <c r="N41">
        <f>IF(L41&lt;&gt;M41,1,0)</f>
        <v/>
      </c>
      <c r="O41" t="n">
        <v>16</v>
      </c>
      <c r="R41" t="n">
        <v>25</v>
      </c>
      <c r="S41" t="n">
        <v>3</v>
      </c>
      <c r="T41" s="3">
        <f>SUM(O41:S41)</f>
        <v/>
      </c>
      <c r="U41" s="3">
        <f>IF(P41&lt;8,"USTED ESTÁ AL DÍA","USTED NO ESTÁ AL DÍA")</f>
        <v/>
      </c>
      <c r="V41" s="3" t="inlineStr">
        <is>
          <t>PAGO PRESENCIAL:  05/06 de 4-6 pm (LOCAL DEL PUEBLO), PAGO YAPE: 948 227 636</t>
        </is>
      </c>
      <c r="W41" t="n">
        <v>60</v>
      </c>
      <c r="X41" t="n">
        <v>50</v>
      </c>
      <c r="Y41">
        <f>T41+W41+X41</f>
        <v/>
      </c>
    </row>
    <row r="42" hidden="1" ht="15.75" customHeight="1" s="4">
      <c r="A42" s="3" t="n">
        <v>16936</v>
      </c>
      <c r="B42" s="3" t="inlineStr">
        <is>
          <t>11/04/2026 al 10/05/2026</t>
        </is>
      </c>
      <c r="C42" s="2" t="n">
        <v>46179</v>
      </c>
      <c r="D42" s="2" t="n">
        <v>46174</v>
      </c>
      <c r="E42" s="2" t="n">
        <v>46122</v>
      </c>
      <c r="F42" s="2" t="n">
        <v>46152</v>
      </c>
      <c r="G42" t="inlineStr">
        <is>
          <t>ALEJANDRO RAPRAY VELASQUEZ</t>
        </is>
      </c>
      <c r="H42" t="inlineStr">
        <is>
          <t>B</t>
        </is>
      </c>
      <c r="I42" t="inlineStr">
        <is>
          <t>9</t>
        </is>
      </c>
      <c r="J42" t="n">
        <v>78</v>
      </c>
      <c r="K42" t="n">
        <v>82</v>
      </c>
      <c r="L42">
        <f>K42-J42</f>
        <v/>
      </c>
      <c r="M42" t="n">
        <v>5</v>
      </c>
      <c r="O42" t="n">
        <v>5</v>
      </c>
      <c r="S42" t="n">
        <v>3</v>
      </c>
      <c r="T42" s="3">
        <f>SUM(O42:S42)</f>
        <v/>
      </c>
      <c r="U42" s="3">
        <f>IF(P42&lt;8,"USTED ESTÁ AL DÍA","USTED NO ESTÁ AL DÍA")</f>
        <v/>
      </c>
      <c r="V42" s="3" t="inlineStr">
        <is>
          <t>PAGO PRESENCIAL:  05/06 de 4-6 pm (LOCAL DEL PUEBLO), PAGO YAPE: 948 227 636</t>
        </is>
      </c>
      <c r="W42" t="n">
        <v>50</v>
      </c>
      <c r="X42" t="n">
        <v>50</v>
      </c>
      <c r="Y42">
        <f>T42+W42+X42</f>
        <v/>
      </c>
    </row>
    <row r="43" hidden="1" ht="15.75" customHeight="1" s="4">
      <c r="A43" s="3" t="n">
        <v>16937</v>
      </c>
      <c r="B43" s="3" t="inlineStr">
        <is>
          <t>11/04/2026 al 10/05/2026</t>
        </is>
      </c>
      <c r="C43" s="2" t="n">
        <v>46179</v>
      </c>
      <c r="D43" s="2" t="n">
        <v>46174</v>
      </c>
      <c r="E43" s="2" t="n">
        <v>46122</v>
      </c>
      <c r="F43" s="2" t="n">
        <v>46152</v>
      </c>
      <c r="G43" t="inlineStr">
        <is>
          <t>ELVIRA PASCUALA MINAYA TAHUA</t>
        </is>
      </c>
      <c r="H43" t="inlineStr">
        <is>
          <t>B</t>
        </is>
      </c>
      <c r="I43" t="inlineStr">
        <is>
          <t>11</t>
        </is>
      </c>
      <c r="J43" t="n">
        <v>48</v>
      </c>
      <c r="K43" t="n">
        <v>63</v>
      </c>
      <c r="L43">
        <f>K43-J43</f>
        <v/>
      </c>
      <c r="M43" t="n">
        <v>15</v>
      </c>
      <c r="N43">
        <f>IF(L43&lt;&gt;M43,1,0)</f>
        <v/>
      </c>
      <c r="O43" t="n">
        <v>15</v>
      </c>
      <c r="R43" t="n">
        <v>25</v>
      </c>
      <c r="S43" t="n">
        <v>3</v>
      </c>
      <c r="T43" s="3">
        <f>SUM(O43:S43)</f>
        <v/>
      </c>
      <c r="U43" s="3">
        <f>IF(P43&lt;8,"USTED ESTÁ AL DÍA","USTED NO ESTÁ AL DÍA")</f>
        <v/>
      </c>
      <c r="V43" s="3" t="inlineStr">
        <is>
          <t>PAGO PRESENCIAL:  05/06 de 4-6 pm (LOCAL DEL PUEBLO), PAGO YAPE: 948 227 636</t>
        </is>
      </c>
      <c r="X43" t="n">
        <v>50</v>
      </c>
      <c r="Y43">
        <f>T43+W43+X43</f>
        <v/>
      </c>
    </row>
    <row r="44" hidden="1" ht="15.75" customHeight="1" s="4">
      <c r="A44" s="3" t="n">
        <v>16938</v>
      </c>
      <c r="B44" s="3" t="inlineStr">
        <is>
          <t>11/04/2026 al 10/05/2026</t>
        </is>
      </c>
      <c r="C44" s="2" t="n">
        <v>46179</v>
      </c>
      <c r="D44" s="2" t="n">
        <v>46174</v>
      </c>
      <c r="E44" s="2" t="n">
        <v>46122</v>
      </c>
      <c r="F44" s="2" t="n">
        <v>46152</v>
      </c>
      <c r="G44" t="inlineStr">
        <is>
          <t>SALOME AGUSTINA DIAZ VARGAS</t>
        </is>
      </c>
      <c r="H44" t="inlineStr">
        <is>
          <t>B</t>
        </is>
      </c>
      <c r="I44" t="inlineStr">
        <is>
          <t>13</t>
        </is>
      </c>
      <c r="J44" t="n">
        <v>306</v>
      </c>
      <c r="K44" t="n">
        <v>312</v>
      </c>
      <c r="L44">
        <f>K44-J44</f>
        <v/>
      </c>
      <c r="M44" t="n">
        <v>6</v>
      </c>
      <c r="N44">
        <f>IF(L44&lt;&gt;M44,1,0)</f>
        <v/>
      </c>
      <c r="O44" t="n">
        <v>6</v>
      </c>
      <c r="S44" t="n">
        <v>3</v>
      </c>
      <c r="T44" s="3">
        <f>SUM(O44:S44)</f>
        <v/>
      </c>
      <c r="U44" s="3">
        <f>IF(P44&lt;8,"USTED ESTÁ AL DÍA","USTED NO ESTÁ AL DÍA")</f>
        <v/>
      </c>
      <c r="V44" s="3" t="inlineStr">
        <is>
          <t>PAGO PRESENCIAL:  05/06 de 4-6 pm (LOCAL DEL PUEBLO), PAGO YAPE: 948 227 636</t>
        </is>
      </c>
      <c r="W44" t="n">
        <v>50</v>
      </c>
      <c r="X44" t="n">
        <v>30</v>
      </c>
      <c r="Y44">
        <f>T44+W44+X44</f>
        <v/>
      </c>
    </row>
    <row r="45" hidden="1" ht="15.75" customHeight="1" s="4">
      <c r="A45" s="3" t="n">
        <v>16939</v>
      </c>
      <c r="B45" s="3" t="inlineStr">
        <is>
          <t>11/04/2026 al 10/05/2026</t>
        </is>
      </c>
      <c r="C45" s="2" t="n">
        <v>46179</v>
      </c>
      <c r="D45" s="2" t="n">
        <v>46174</v>
      </c>
      <c r="E45" s="2" t="n">
        <v>46122</v>
      </c>
      <c r="F45" s="2" t="n">
        <v>46152</v>
      </c>
      <c r="G45" t="inlineStr">
        <is>
          <t>MELISSA ISABEL PILLACA GARCIA</t>
        </is>
      </c>
      <c r="H45" t="inlineStr">
        <is>
          <t>B</t>
        </is>
      </c>
      <c r="I45" t="inlineStr">
        <is>
          <t>19</t>
        </is>
      </c>
      <c r="J45" t="n">
        <v>1311</v>
      </c>
      <c r="K45" t="n">
        <v>1328</v>
      </c>
      <c r="L45">
        <f>K45-J45</f>
        <v/>
      </c>
      <c r="M45" t="n">
        <v>17</v>
      </c>
      <c r="N45">
        <f>IF(L45&lt;&gt;M45,1,0)</f>
        <v/>
      </c>
      <c r="O45" t="n">
        <v>17</v>
      </c>
      <c r="S45" t="n">
        <v>3</v>
      </c>
      <c r="T45" s="3">
        <f>SUM(O45:S45)</f>
        <v/>
      </c>
      <c r="U45" s="3">
        <f>IF(P45&lt;8,"USTED ESTÁ AL DÍA","USTED NO ESTÁ AL DÍA")</f>
        <v/>
      </c>
      <c r="V45" s="3" t="inlineStr">
        <is>
          <t>PAGO PRESENCIAL:  05/06 de 4-6 pm (LOCAL DEL PUEBLO), PAGO YAPE: 948 227 636</t>
        </is>
      </c>
      <c r="W45" t="n">
        <v>50</v>
      </c>
      <c r="Y45">
        <f>T45+W45+X45</f>
        <v/>
      </c>
    </row>
    <row r="46" hidden="1" ht="15.75" customHeight="1" s="4">
      <c r="A46" s="3" t="n">
        <v>16940</v>
      </c>
      <c r="B46" s="3" t="inlineStr">
        <is>
          <t>11/04/2026 al 10/05/2026</t>
        </is>
      </c>
      <c r="C46" s="2" t="n">
        <v>46179</v>
      </c>
      <c r="D46" s="2" t="n">
        <v>46174</v>
      </c>
      <c r="E46" s="2" t="n">
        <v>46122</v>
      </c>
      <c r="F46" s="2" t="n">
        <v>46152</v>
      </c>
      <c r="G46" t="inlineStr">
        <is>
          <t>LUZ DINA MIRAVAL HUERTA</t>
        </is>
      </c>
      <c r="H46" t="inlineStr">
        <is>
          <t>B</t>
        </is>
      </c>
      <c r="I46" t="inlineStr">
        <is>
          <t>17</t>
        </is>
      </c>
      <c r="J46" t="n">
        <v>1122</v>
      </c>
      <c r="K46" t="n">
        <v>1147</v>
      </c>
      <c r="L46">
        <f>K46-J46</f>
        <v/>
      </c>
      <c r="M46" t="n">
        <v>25</v>
      </c>
      <c r="N46">
        <f>IF(L46&lt;&gt;M46,1,0)</f>
        <v/>
      </c>
      <c r="O46" t="n">
        <v>25</v>
      </c>
      <c r="Q46" t="n">
        <v>20</v>
      </c>
      <c r="S46" t="n">
        <v>3</v>
      </c>
      <c r="T46" s="3">
        <f>SUM(O46:S46)</f>
        <v/>
      </c>
      <c r="U46" s="3">
        <f>IF(P46&lt;8,"USTED ESTÁ AL DÍA","USTED NO ESTÁ AL DÍA")</f>
        <v/>
      </c>
      <c r="V46" s="3" t="inlineStr">
        <is>
          <t>PAGO PRESENCIAL:  05/06 de 4-6 pm (LOCAL DEL PUEBLO), PAGO YAPE: 948 227 636</t>
        </is>
      </c>
      <c r="X46" t="n">
        <v>20</v>
      </c>
      <c r="Y46">
        <f>T46+W46+X46</f>
        <v/>
      </c>
    </row>
    <row r="47" hidden="1" ht="15.75" customHeight="1" s="4">
      <c r="A47" s="3" t="n">
        <v>16941</v>
      </c>
      <c r="B47" s="3" t="inlineStr">
        <is>
          <t>11/04/2026 al 10/05/2026</t>
        </is>
      </c>
      <c r="C47" s="2" t="n">
        <v>46179</v>
      </c>
      <c r="D47" s="2" t="n">
        <v>46174</v>
      </c>
      <c r="E47" s="2" t="n">
        <v>46122</v>
      </c>
      <c r="F47" s="2" t="n">
        <v>46152</v>
      </c>
      <c r="G47" t="inlineStr">
        <is>
          <t>CLETO TENORIO MORI</t>
        </is>
      </c>
      <c r="H47" t="inlineStr">
        <is>
          <t>B</t>
        </is>
      </c>
      <c r="I47" t="inlineStr">
        <is>
          <t>18</t>
        </is>
      </c>
      <c r="J47" t="n">
        <v>584</v>
      </c>
      <c r="K47" t="n">
        <v>591</v>
      </c>
      <c r="L47">
        <f>K47-J47</f>
        <v/>
      </c>
      <c r="M47" t="n">
        <v>7</v>
      </c>
      <c r="N47">
        <f>IF(L47&lt;&gt;M47,1,0)</f>
        <v/>
      </c>
      <c r="O47" t="n">
        <v>7</v>
      </c>
      <c r="S47" t="n">
        <v>3</v>
      </c>
      <c r="T47" s="3">
        <f>SUM(O47:S47)</f>
        <v/>
      </c>
      <c r="U47" s="3">
        <f>IF(P47&lt;8,"USTED ESTÁ AL DÍA","USTED NO ESTÁ AL DÍA")</f>
        <v/>
      </c>
      <c r="V47" s="3" t="inlineStr">
        <is>
          <t>PAGO PRESENCIAL:  05/06 de 4-6 pm (LOCAL DEL PUEBLO), PAGO YAPE: 948 227 636</t>
        </is>
      </c>
      <c r="W47" t="n">
        <v>50</v>
      </c>
      <c r="Y47">
        <f>T47+W47+X47</f>
        <v/>
      </c>
    </row>
    <row r="48" hidden="1" ht="15.75" customHeight="1" s="4">
      <c r="A48" s="3" t="n">
        <v>16942</v>
      </c>
      <c r="B48" s="3" t="inlineStr">
        <is>
          <t>11/04/2026 al 10/05/2026</t>
        </is>
      </c>
      <c r="C48" s="2" t="n">
        <v>46179</v>
      </c>
      <c r="D48" s="2" t="n">
        <v>46174</v>
      </c>
      <c r="E48" s="2" t="n">
        <v>46122</v>
      </c>
      <c r="F48" s="2" t="n">
        <v>46152</v>
      </c>
      <c r="G48" t="inlineStr">
        <is>
          <t>CAMILA HIDALGO</t>
        </is>
      </c>
      <c r="H48" t="inlineStr">
        <is>
          <t>B</t>
        </is>
      </c>
      <c r="I48" t="inlineStr">
        <is>
          <t>14</t>
        </is>
      </c>
      <c r="J48" t="n">
        <v>206</v>
      </c>
      <c r="K48" t="n">
        <v>218</v>
      </c>
      <c r="L48">
        <f>K48-J48</f>
        <v/>
      </c>
      <c r="M48" t="n">
        <v>12</v>
      </c>
      <c r="N48">
        <f>IF(L48&lt;&gt;M48,1,0)</f>
        <v/>
      </c>
      <c r="O48" t="n">
        <v>12</v>
      </c>
      <c r="Q48" t="n">
        <v>20</v>
      </c>
      <c r="S48" t="n">
        <v>3</v>
      </c>
      <c r="T48" s="3">
        <f>SUM(O48:S48)</f>
        <v/>
      </c>
      <c r="U48" s="3">
        <f>IF(P48&lt;8,"USTED ESTÁ AL DÍA","USTED NO ESTÁ AL DÍA")</f>
        <v/>
      </c>
      <c r="V48" s="3" t="inlineStr">
        <is>
          <t>PAGO PRESENCIAL:  05/06 de 4-6 pm (LOCAL DEL PUEBLO), PAGO YAPE: 948 227 636</t>
        </is>
      </c>
      <c r="W48" t="n">
        <v>50</v>
      </c>
      <c r="X48" t="n">
        <v>50</v>
      </c>
      <c r="Y48">
        <f>T48+W48+X48</f>
        <v/>
      </c>
    </row>
    <row r="49" hidden="1" ht="15.75" customHeight="1" s="4">
      <c r="A49" s="3" t="n">
        <v>16943</v>
      </c>
      <c r="B49" s="3" t="inlineStr">
        <is>
          <t>11/04/2026 al 10/05/2026</t>
        </is>
      </c>
      <c r="C49" s="2" t="n">
        <v>46179</v>
      </c>
      <c r="D49" s="2" t="n">
        <v>46174</v>
      </c>
      <c r="E49" s="2" t="n">
        <v>46122</v>
      </c>
      <c r="F49" s="2" t="n">
        <v>46152</v>
      </c>
      <c r="G49" t="inlineStr">
        <is>
          <t>ROSMERI SANCHEZ ESPADA</t>
        </is>
      </c>
      <c r="H49" t="inlineStr">
        <is>
          <t>B</t>
        </is>
      </c>
      <c r="I49" t="inlineStr">
        <is>
          <t>12A</t>
        </is>
      </c>
      <c r="J49" t="n">
        <v>371</v>
      </c>
      <c r="K49" t="n">
        <v>376</v>
      </c>
      <c r="L49">
        <f>K49-J49</f>
        <v/>
      </c>
      <c r="M49" t="n">
        <v>5</v>
      </c>
      <c r="O49" t="n">
        <v>5</v>
      </c>
      <c r="Q49" t="n">
        <v>20</v>
      </c>
      <c r="S49" t="n">
        <v>3</v>
      </c>
      <c r="T49" s="3">
        <f>SUM(O49:S49)</f>
        <v/>
      </c>
      <c r="U49" s="3">
        <f>IF(P49&lt;8,"USTED ESTÁ AL DÍA","USTED NO ESTÁ AL DÍA")</f>
        <v/>
      </c>
      <c r="V49" s="3" t="inlineStr">
        <is>
          <t>PAGO PRESENCIAL:  05/06 de 4-6 pm (LOCAL DEL PUEBLO), PAGO YAPE: 948 227 636</t>
        </is>
      </c>
      <c r="W49" t="n">
        <v>30</v>
      </c>
      <c r="Y49">
        <f>T49+W49+X49</f>
        <v/>
      </c>
    </row>
    <row r="50" hidden="1" ht="15.75" customHeight="1" s="4">
      <c r="A50" s="3" t="n">
        <v>16944</v>
      </c>
      <c r="B50" s="3" t="inlineStr">
        <is>
          <t>11/04/2026 al 10/05/2026</t>
        </is>
      </c>
      <c r="C50" s="2" t="n">
        <v>46179</v>
      </c>
      <c r="D50" s="2" t="n">
        <v>46174</v>
      </c>
      <c r="E50" s="2" t="n">
        <v>46122</v>
      </c>
      <c r="F50" s="2" t="n">
        <v>46152</v>
      </c>
      <c r="G50" t="inlineStr">
        <is>
          <t>SAORY RAPRAY SILVA</t>
        </is>
      </c>
      <c r="H50" t="inlineStr">
        <is>
          <t>B</t>
        </is>
      </c>
      <c r="I50" t="inlineStr">
        <is>
          <t>15</t>
        </is>
      </c>
      <c r="L50">
        <f>K50-J50</f>
        <v/>
      </c>
      <c r="S50" t="n">
        <v>0</v>
      </c>
      <c r="T50" s="3">
        <f>SUM(O50:S50)</f>
        <v/>
      </c>
      <c r="U50" s="3">
        <f>IF(P50&lt;8,"USTED ESTÁ AL DÍA","USTED NO ESTÁ AL DÍA")</f>
        <v/>
      </c>
      <c r="V50" s="3" t="inlineStr">
        <is>
          <t>PAGO PRESENCIAL:  05/06 de 4-6 pm (LOCAL DEL PUEBLO), PAGO YAPE: 948 227 636</t>
        </is>
      </c>
      <c r="W50" t="n">
        <v>50</v>
      </c>
      <c r="X50" t="n">
        <v>75</v>
      </c>
      <c r="Y50">
        <f>T50+W50+X50</f>
        <v/>
      </c>
    </row>
    <row r="51" hidden="1" ht="15.75" customHeight="1" s="4">
      <c r="A51" s="3" t="n">
        <v>16945</v>
      </c>
      <c r="B51" s="3" t="inlineStr">
        <is>
          <t>11/04/2026 al 10/05/2026</t>
        </is>
      </c>
      <c r="C51" s="2" t="n">
        <v>46179</v>
      </c>
      <c r="D51" s="2" t="n">
        <v>46174</v>
      </c>
      <c r="E51" s="2" t="n">
        <v>46122</v>
      </c>
      <c r="F51" s="2" t="n">
        <v>46152</v>
      </c>
      <c r="G51" t="inlineStr">
        <is>
          <t>FELIX POMA DE LA CRUZ</t>
        </is>
      </c>
      <c r="H51" t="inlineStr">
        <is>
          <t>B1</t>
        </is>
      </c>
      <c r="I51" t="inlineStr">
        <is>
          <t>1</t>
        </is>
      </c>
      <c r="J51" t="n">
        <v>1748</v>
      </c>
      <c r="K51" t="n">
        <v>1754</v>
      </c>
      <c r="L51">
        <f>K51-J51</f>
        <v/>
      </c>
      <c r="M51" t="n">
        <v>6</v>
      </c>
      <c r="N51">
        <f>IF(L51&lt;&gt;M51,1,0)</f>
        <v/>
      </c>
      <c r="O51" t="n">
        <v>6</v>
      </c>
      <c r="S51" t="n">
        <v>3</v>
      </c>
      <c r="T51" s="3">
        <f>SUM(O51:S51)</f>
        <v/>
      </c>
      <c r="U51" s="3">
        <f>IF(P51&lt;8,"USTED ESTÁ AL DÍA","USTED NO ESTÁ AL DÍA")</f>
        <v/>
      </c>
      <c r="V51" s="3" t="inlineStr">
        <is>
          <t>PAGO PRESENCIAL:  05/06 de 4-6 pm (LOCAL DEL PUEBLO), PAGO YAPE: 948 227 636</t>
        </is>
      </c>
      <c r="W51" t="n">
        <v>20</v>
      </c>
      <c r="X51" t="n">
        <v>50</v>
      </c>
      <c r="Y51">
        <f>T51+W51+X51</f>
        <v/>
      </c>
    </row>
    <row r="52" hidden="1" ht="15.75" customHeight="1" s="4">
      <c r="A52" s="3" t="n">
        <v>16946</v>
      </c>
      <c r="B52" s="3" t="inlineStr">
        <is>
          <t>11/04/2026 al 10/05/2026</t>
        </is>
      </c>
      <c r="C52" s="2" t="n">
        <v>46179</v>
      </c>
      <c r="D52" s="2" t="n">
        <v>46174</v>
      </c>
      <c r="E52" s="2" t="n">
        <v>46122</v>
      </c>
      <c r="F52" s="2" t="n">
        <v>46152</v>
      </c>
      <c r="G52" t="inlineStr">
        <is>
          <t>JOHAN ENSO RODRIGUEZ FLORES</t>
        </is>
      </c>
      <c r="H52" t="inlineStr">
        <is>
          <t>B1</t>
        </is>
      </c>
      <c r="I52" t="inlineStr">
        <is>
          <t>3</t>
        </is>
      </c>
      <c r="J52" t="n">
        <v>33</v>
      </c>
      <c r="K52" t="n">
        <v>33</v>
      </c>
      <c r="L52">
        <f>K52-J52</f>
        <v/>
      </c>
      <c r="M52" t="n">
        <v>5</v>
      </c>
      <c r="O52" t="n">
        <v>5</v>
      </c>
      <c r="S52" t="n">
        <v>3</v>
      </c>
      <c r="T52" s="3">
        <f>SUM(O52:S52)</f>
        <v/>
      </c>
      <c r="U52" s="3">
        <f>IF(P52&lt;8,"USTED ESTÁ AL DÍA","USTED NO ESTÁ AL DÍA")</f>
        <v/>
      </c>
      <c r="V52" s="3" t="inlineStr">
        <is>
          <t>PAGO PRESENCIAL:  05/06 de 4-6 pm (LOCAL DEL PUEBLO), PAGO YAPE: 948 227 636</t>
        </is>
      </c>
      <c r="W52" t="n">
        <v>50</v>
      </c>
      <c r="X52" t="n">
        <v>50</v>
      </c>
      <c r="Y52">
        <f>T52+W52+X52</f>
        <v/>
      </c>
    </row>
    <row r="53" hidden="1" ht="15.75" customHeight="1" s="4">
      <c r="A53" s="3" t="n">
        <v>16947</v>
      </c>
      <c r="B53" s="3" t="inlineStr">
        <is>
          <t>11/04/2026 al 10/05/2026</t>
        </is>
      </c>
      <c r="C53" s="2" t="n">
        <v>46179</v>
      </c>
      <c r="D53" s="2" t="n">
        <v>46174</v>
      </c>
      <c r="E53" s="2" t="n">
        <v>46122</v>
      </c>
      <c r="F53" s="2" t="n">
        <v>46152</v>
      </c>
      <c r="G53" t="inlineStr">
        <is>
          <t>EDGAR AGUSTIN SANCHEZ</t>
        </is>
      </c>
      <c r="H53" t="inlineStr">
        <is>
          <t>B1</t>
        </is>
      </c>
      <c r="I53" t="inlineStr">
        <is>
          <t>4</t>
        </is>
      </c>
      <c r="J53" t="n">
        <v>131</v>
      </c>
      <c r="K53" t="n">
        <v>140</v>
      </c>
      <c r="L53">
        <f>K53-J53</f>
        <v/>
      </c>
      <c r="M53" t="n">
        <v>9</v>
      </c>
      <c r="N53">
        <f>IF(L53&lt;&gt;M53,1,0)</f>
        <v/>
      </c>
      <c r="O53" t="n">
        <v>9</v>
      </c>
      <c r="S53" t="n">
        <v>3</v>
      </c>
      <c r="T53" s="3">
        <f>SUM(O53:S53)</f>
        <v/>
      </c>
      <c r="U53" s="3">
        <f>IF(P53&lt;8,"USTED ESTÁ AL DÍA","USTED NO ESTÁ AL DÍA")</f>
        <v/>
      </c>
      <c r="V53" s="3" t="inlineStr">
        <is>
          <t>PAGO PRESENCIAL:  05/06 de 4-6 pm (LOCAL DEL PUEBLO), PAGO YAPE: 948 227 636</t>
        </is>
      </c>
      <c r="Y53">
        <f>T53+W53+X53</f>
        <v/>
      </c>
    </row>
    <row r="54" hidden="1" ht="15.75" customHeight="1" s="4">
      <c r="A54" s="3" t="n">
        <v>16948</v>
      </c>
      <c r="B54" s="3" t="inlineStr">
        <is>
          <t>11/04/2026 al 10/05/2026</t>
        </is>
      </c>
      <c r="C54" s="2" t="n">
        <v>46179</v>
      </c>
      <c r="D54" s="2" t="n">
        <v>46174</v>
      </c>
      <c r="E54" s="2" t="n">
        <v>46122</v>
      </c>
      <c r="F54" s="2" t="n">
        <v>46152</v>
      </c>
      <c r="G54" t="inlineStr">
        <is>
          <t>FILOMENO PAUCAR CENTENO</t>
        </is>
      </c>
      <c r="H54" t="inlineStr">
        <is>
          <t>B1</t>
        </is>
      </c>
      <c r="I54" t="inlineStr">
        <is>
          <t>5</t>
        </is>
      </c>
      <c r="J54" t="n">
        <v>1564</v>
      </c>
      <c r="K54" t="n">
        <v>1575</v>
      </c>
      <c r="L54">
        <f>K54-J54</f>
        <v/>
      </c>
      <c r="M54" t="n">
        <v>11</v>
      </c>
      <c r="N54">
        <f>IF(L54&lt;&gt;M54,1,0)</f>
        <v/>
      </c>
      <c r="O54" t="n">
        <v>11</v>
      </c>
      <c r="P54" t="n">
        <v>3</v>
      </c>
      <c r="S54" t="n">
        <v>3</v>
      </c>
      <c r="T54" s="3">
        <f>SUM(O54:S54)</f>
        <v/>
      </c>
      <c r="U54" s="3">
        <f>IF(P54&lt;8,"USTED ESTÁ AL DÍA","USTED NO ESTÁ AL DÍA")</f>
        <v/>
      </c>
      <c r="V54" s="3" t="inlineStr">
        <is>
          <t>PAGO PRESENCIAL:  05/06 de 4-6 pm (LOCAL DEL PUEBLO), PAGO YAPE: 948 227 636</t>
        </is>
      </c>
      <c r="W54" t="n">
        <v>30</v>
      </c>
      <c r="Y54">
        <f>T54+W54+X54</f>
        <v/>
      </c>
    </row>
    <row r="55" hidden="1" ht="15.75" customHeight="1" s="4">
      <c r="A55" s="3" t="n">
        <v>16949</v>
      </c>
      <c r="B55" s="3" t="inlineStr">
        <is>
          <t>11/04/2026 al 10/05/2026</t>
        </is>
      </c>
      <c r="C55" s="2" t="n">
        <v>46179</v>
      </c>
      <c r="D55" s="2" t="n">
        <v>46174</v>
      </c>
      <c r="E55" s="2" t="n">
        <v>46122</v>
      </c>
      <c r="F55" s="2" t="n">
        <v>46152</v>
      </c>
      <c r="G55" t="inlineStr">
        <is>
          <t>IRMA GLADIS ROJAS CABRACANCHA</t>
        </is>
      </c>
      <c r="H55" t="inlineStr">
        <is>
          <t>B1</t>
        </is>
      </c>
      <c r="I55" t="inlineStr">
        <is>
          <t>6</t>
        </is>
      </c>
      <c r="J55" t="n">
        <v>1133</v>
      </c>
      <c r="K55" t="n">
        <v>1142</v>
      </c>
      <c r="L55">
        <f>K55-J55</f>
        <v/>
      </c>
      <c r="M55" t="n">
        <v>9</v>
      </c>
      <c r="N55">
        <f>IF(L55&lt;&gt;M55,1,0)</f>
        <v/>
      </c>
      <c r="O55" t="n">
        <v>9</v>
      </c>
      <c r="S55" t="n">
        <v>3</v>
      </c>
      <c r="T55" s="3">
        <f>SUM(O55:S55)</f>
        <v/>
      </c>
      <c r="U55" s="3">
        <f>IF(P55&lt;8,"USTED ESTÁ AL DÍA","USTED NO ESTÁ AL DÍA")</f>
        <v/>
      </c>
      <c r="V55" s="3" t="inlineStr">
        <is>
          <t>PAGO PRESENCIAL:  05/06 de 4-6 pm (LOCAL DEL PUEBLO), PAGO YAPE: 948 227 636</t>
        </is>
      </c>
      <c r="X55" t="n">
        <v>50</v>
      </c>
      <c r="Y55">
        <f>T55+W55+X55</f>
        <v/>
      </c>
    </row>
    <row r="56" hidden="1" ht="15.75" customHeight="1" s="4">
      <c r="A56" s="3" t="n">
        <v>16950</v>
      </c>
      <c r="B56" s="3" t="inlineStr">
        <is>
          <t>11/04/2026 al 10/05/2026</t>
        </is>
      </c>
      <c r="C56" s="2" t="n">
        <v>46179</v>
      </c>
      <c r="D56" s="2" t="n">
        <v>46174</v>
      </c>
      <c r="E56" s="2" t="n">
        <v>46122</v>
      </c>
      <c r="F56" s="2" t="n">
        <v>46152</v>
      </c>
      <c r="G56" t="inlineStr">
        <is>
          <t>DEONICIA CORAQUILLO VALERIO</t>
        </is>
      </c>
      <c r="H56" t="inlineStr">
        <is>
          <t>B1</t>
        </is>
      </c>
      <c r="I56" t="inlineStr">
        <is>
          <t>8</t>
        </is>
      </c>
      <c r="J56" t="n">
        <v>1753</v>
      </c>
      <c r="K56" t="n">
        <v>1762</v>
      </c>
      <c r="L56">
        <f>K56-J56</f>
        <v/>
      </c>
      <c r="M56" t="n">
        <v>9</v>
      </c>
      <c r="N56">
        <f>IF(L56&lt;&gt;M56,1,0)</f>
        <v/>
      </c>
      <c r="O56" t="n">
        <v>9</v>
      </c>
      <c r="S56" t="n">
        <v>3</v>
      </c>
      <c r="T56" s="3">
        <f>SUM(O56:S56)</f>
        <v/>
      </c>
      <c r="U56" s="3">
        <f>IF(P56&lt;8,"USTED ESTÁ AL DÍA","USTED NO ESTÁ AL DÍA")</f>
        <v/>
      </c>
      <c r="V56" s="3" t="inlineStr">
        <is>
          <t>PAGO PRESENCIAL:  05/06 de 4-6 pm (LOCAL DEL PUEBLO), PAGO YAPE: 948 227 636</t>
        </is>
      </c>
      <c r="W56" t="n">
        <v>50</v>
      </c>
      <c r="X56" t="n">
        <v>75</v>
      </c>
      <c r="Y56">
        <f>T56+W56+X56</f>
        <v/>
      </c>
    </row>
    <row r="57" hidden="1" ht="15.75" customHeight="1" s="4">
      <c r="A57" s="3" t="n">
        <v>16951</v>
      </c>
      <c r="B57" s="3" t="inlineStr">
        <is>
          <t>11/04/2026 al 10/05/2026</t>
        </is>
      </c>
      <c r="C57" s="2" t="n">
        <v>46179</v>
      </c>
      <c r="D57" s="2" t="n">
        <v>46174</v>
      </c>
      <c r="E57" s="2" t="n">
        <v>46122</v>
      </c>
      <c r="F57" s="2" t="n">
        <v>46152</v>
      </c>
      <c r="G57" t="inlineStr">
        <is>
          <t>PATRICIA POLO CIRILO</t>
        </is>
      </c>
      <c r="H57" t="inlineStr">
        <is>
          <t>B1</t>
        </is>
      </c>
      <c r="I57" t="inlineStr">
        <is>
          <t>9</t>
        </is>
      </c>
      <c r="J57" t="n">
        <v>1678</v>
      </c>
      <c r="K57" t="n">
        <v>1687</v>
      </c>
      <c r="L57">
        <f>K57-J57</f>
        <v/>
      </c>
      <c r="M57" t="n">
        <v>9</v>
      </c>
      <c r="N57">
        <f>IF(L57&lt;&gt;M57,1,0)</f>
        <v/>
      </c>
      <c r="O57" t="n">
        <v>9</v>
      </c>
      <c r="S57" t="n">
        <v>3</v>
      </c>
      <c r="T57" s="3">
        <f>SUM(O57:S57)</f>
        <v/>
      </c>
      <c r="U57" s="3">
        <f>IF(P57&lt;8,"USTED ESTÁ AL DÍA","USTED NO ESTÁ AL DÍA")</f>
        <v/>
      </c>
      <c r="V57" s="3" t="inlineStr">
        <is>
          <t>PAGO PRESENCIAL:  05/06 de 4-6 pm (LOCAL DEL PUEBLO), PAGO YAPE: 948 227 636</t>
        </is>
      </c>
      <c r="X57" t="n">
        <v>50</v>
      </c>
      <c r="Y57">
        <f>T57+W57+X57</f>
        <v/>
      </c>
    </row>
    <row r="58" hidden="1" ht="15.75" customHeight="1" s="4">
      <c r="A58" s="3" t="n">
        <v>16952</v>
      </c>
      <c r="B58" s="3" t="inlineStr">
        <is>
          <t>11/04/2026 al 10/05/2026</t>
        </is>
      </c>
      <c r="C58" s="2" t="n">
        <v>46179</v>
      </c>
      <c r="D58" s="2" t="n">
        <v>46174</v>
      </c>
      <c r="E58" s="2" t="n">
        <v>46122</v>
      </c>
      <c r="F58" s="2" t="n">
        <v>46152</v>
      </c>
      <c r="G58" t="inlineStr">
        <is>
          <t>NILDA SALES BLAS</t>
        </is>
      </c>
      <c r="H58" t="inlineStr">
        <is>
          <t>B1</t>
        </is>
      </c>
      <c r="I58" t="inlineStr">
        <is>
          <t>11</t>
        </is>
      </c>
      <c r="J58" t="n">
        <v>804</v>
      </c>
      <c r="K58" t="n">
        <v>816</v>
      </c>
      <c r="L58">
        <f>K58-J58</f>
        <v/>
      </c>
      <c r="M58" t="n">
        <v>12</v>
      </c>
      <c r="N58">
        <f>IF(L58&lt;&gt;M58,1,0)</f>
        <v/>
      </c>
      <c r="O58" t="n">
        <v>12</v>
      </c>
      <c r="S58" t="n">
        <v>3</v>
      </c>
      <c r="T58" s="3">
        <f>SUM(O58:S58)</f>
        <v/>
      </c>
      <c r="U58" s="3">
        <f>IF(P58&lt;8,"USTED ESTÁ AL DÍA","USTED NO ESTÁ AL DÍA")</f>
        <v/>
      </c>
      <c r="V58" s="3" t="inlineStr">
        <is>
          <t>PAGO PRESENCIAL:  05/06 de 4-6 pm (LOCAL DEL PUEBLO), PAGO YAPE: 948 227 636</t>
        </is>
      </c>
      <c r="W58" t="n">
        <v>30</v>
      </c>
      <c r="Y58">
        <f>T58+W58+X58</f>
        <v/>
      </c>
    </row>
    <row r="59" hidden="1" ht="15.75" customHeight="1" s="4">
      <c r="A59" s="3" t="n">
        <v>16953</v>
      </c>
      <c r="B59" s="3" t="inlineStr">
        <is>
          <t>11/04/2026 al 10/05/2026</t>
        </is>
      </c>
      <c r="C59" s="2" t="n">
        <v>46179</v>
      </c>
      <c r="D59" s="2" t="n">
        <v>46174</v>
      </c>
      <c r="E59" s="2" t="n">
        <v>46122</v>
      </c>
      <c r="F59" s="2" t="n">
        <v>46152</v>
      </c>
      <c r="G59" t="inlineStr">
        <is>
          <t>ELEODORO AVILA VALLADARES</t>
        </is>
      </c>
      <c r="H59" t="inlineStr">
        <is>
          <t>B1</t>
        </is>
      </c>
      <c r="I59" t="inlineStr">
        <is>
          <t>13</t>
        </is>
      </c>
      <c r="J59" t="n">
        <v>94</v>
      </c>
      <c r="K59" t="n">
        <v>125</v>
      </c>
      <c r="L59">
        <f>K59-J59</f>
        <v/>
      </c>
      <c r="M59" t="n">
        <v>31</v>
      </c>
      <c r="N59">
        <f>IF(L59&lt;&gt;M59,1,0)</f>
        <v/>
      </c>
      <c r="O59" t="n">
        <v>31</v>
      </c>
      <c r="S59" t="n">
        <v>3</v>
      </c>
      <c r="T59" s="3">
        <f>SUM(O59:S59)</f>
        <v/>
      </c>
      <c r="U59" s="3">
        <f>IF(P59&lt;8,"USTED ESTÁ AL DÍA","USTED NO ESTÁ AL DÍA")</f>
        <v/>
      </c>
      <c r="V59" s="3" t="inlineStr">
        <is>
          <t>PAGO PRESENCIAL:  05/06 de 4-6 pm (LOCAL DEL PUEBLO), PAGO YAPE: 948 227 636</t>
        </is>
      </c>
      <c r="W59" t="n">
        <v>30</v>
      </c>
      <c r="Y59">
        <f>T59+W59+X59</f>
        <v/>
      </c>
    </row>
    <row r="60" hidden="1" ht="15.75" customHeight="1" s="4">
      <c r="A60" s="3" t="n">
        <v>16954</v>
      </c>
      <c r="B60" s="3" t="inlineStr">
        <is>
          <t>11/04/2026 al 10/05/2026</t>
        </is>
      </c>
      <c r="C60" s="2" t="n">
        <v>46179</v>
      </c>
      <c r="D60" s="2" t="n">
        <v>46174</v>
      </c>
      <c r="E60" s="2" t="n">
        <v>46122</v>
      </c>
      <c r="F60" s="2" t="n">
        <v>46152</v>
      </c>
      <c r="G60" t="inlineStr">
        <is>
          <t>DANIEL AVILA OBREGON</t>
        </is>
      </c>
      <c r="H60" t="inlineStr">
        <is>
          <t>B1</t>
        </is>
      </c>
      <c r="I60" t="inlineStr">
        <is>
          <t>14</t>
        </is>
      </c>
      <c r="J60" t="n">
        <v>286</v>
      </c>
      <c r="K60" t="n">
        <v>286</v>
      </c>
      <c r="L60">
        <f>K60-J60</f>
        <v/>
      </c>
      <c r="M60" t="n">
        <v>5</v>
      </c>
      <c r="O60" t="n">
        <v>5</v>
      </c>
      <c r="S60" t="n">
        <v>3</v>
      </c>
      <c r="T60" s="3">
        <f>SUM(O60:S60)</f>
        <v/>
      </c>
      <c r="U60" s="3">
        <f>IF(P60&lt;8,"USTED ESTÁ AL DÍA","USTED NO ESTÁ AL DÍA")</f>
        <v/>
      </c>
      <c r="V60" s="3" t="inlineStr">
        <is>
          <t>PAGO PRESENCIAL:  05/06 de 4-6 pm (LOCAL DEL PUEBLO), PAGO YAPE: 948 227 636</t>
        </is>
      </c>
      <c r="W60" t="n">
        <v>30</v>
      </c>
      <c r="Y60">
        <f>T60+W60+X60</f>
        <v/>
      </c>
    </row>
    <row r="61" hidden="1" ht="15.75" customHeight="1" s="4">
      <c r="A61" s="3" t="n">
        <v>16955</v>
      </c>
      <c r="B61" s="3" t="inlineStr">
        <is>
          <t>11/04/2026 al 10/05/2026</t>
        </is>
      </c>
      <c r="C61" s="2" t="n">
        <v>46179</v>
      </c>
      <c r="D61" s="2" t="n">
        <v>46174</v>
      </c>
      <c r="E61" s="2" t="n">
        <v>46122</v>
      </c>
      <c r="F61" s="2" t="n">
        <v>46152</v>
      </c>
      <c r="G61" t="inlineStr">
        <is>
          <t>ALEJANDRA LOPEZ CANTARO</t>
        </is>
      </c>
      <c r="H61" t="inlineStr">
        <is>
          <t>B1</t>
        </is>
      </c>
      <c r="I61" t="inlineStr">
        <is>
          <t>10</t>
        </is>
      </c>
      <c r="J61" t="n">
        <v>1591</v>
      </c>
      <c r="K61" t="n">
        <v>1603</v>
      </c>
      <c r="L61">
        <f>K61-J61</f>
        <v/>
      </c>
      <c r="M61" t="n">
        <v>12</v>
      </c>
      <c r="N61">
        <f>IF(L61&lt;&gt;M61,1,0)</f>
        <v/>
      </c>
      <c r="O61" t="n">
        <v>12</v>
      </c>
      <c r="P61" t="n">
        <v>14</v>
      </c>
      <c r="S61" t="n">
        <v>3</v>
      </c>
      <c r="T61" s="3">
        <f>SUM(O61:S61)</f>
        <v/>
      </c>
      <c r="U61" s="3">
        <f>IF(P61&lt;8,"USTED ESTÁ AL DÍA","USTED NO ESTÁ AL DÍA")</f>
        <v/>
      </c>
      <c r="V61" s="3" t="inlineStr">
        <is>
          <t>PAGO PRESENCIAL:  05/06 de 4-6 pm (LOCAL DEL PUEBLO), PAGO YAPE: 948 227 636</t>
        </is>
      </c>
      <c r="X61" t="n">
        <v>25</v>
      </c>
      <c r="Y61">
        <f>T61+W61+X61</f>
        <v/>
      </c>
    </row>
    <row r="62" hidden="1" ht="15.75" customHeight="1" s="4">
      <c r="A62" s="3" t="n">
        <v>16956</v>
      </c>
      <c r="B62" s="3" t="inlineStr">
        <is>
          <t>11/04/2026 al 10/05/2026</t>
        </is>
      </c>
      <c r="C62" s="2" t="n">
        <v>46179</v>
      </c>
      <c r="D62" s="2" t="n">
        <v>46174</v>
      </c>
      <c r="E62" s="2" t="n">
        <v>46122</v>
      </c>
      <c r="F62" s="2" t="n">
        <v>46152</v>
      </c>
      <c r="G62" t="inlineStr">
        <is>
          <t>MARIA COSME JULCA</t>
        </is>
      </c>
      <c r="H62" t="inlineStr">
        <is>
          <t>B1</t>
        </is>
      </c>
      <c r="I62" t="inlineStr">
        <is>
          <t>12</t>
        </is>
      </c>
      <c r="J62" t="n">
        <v>960</v>
      </c>
      <c r="K62" t="n">
        <v>970</v>
      </c>
      <c r="L62">
        <f>K62-J62</f>
        <v/>
      </c>
      <c r="M62" t="n">
        <v>10</v>
      </c>
      <c r="N62">
        <f>IF(L62&lt;&gt;M62,1,0)</f>
        <v/>
      </c>
      <c r="O62" t="n">
        <v>10</v>
      </c>
      <c r="P62" t="n">
        <v>16</v>
      </c>
      <c r="S62" t="n">
        <v>3</v>
      </c>
      <c r="T62" s="3">
        <f>SUM(O62:S62)</f>
        <v/>
      </c>
      <c r="U62" s="3">
        <f>IF(P62&lt;8,"USTED ESTÁ AL DÍA","USTED NO ESTÁ AL DÍA")</f>
        <v/>
      </c>
      <c r="V62" s="3" t="inlineStr">
        <is>
          <t>PAGO PRESENCIAL:  05/06 de 4-6 pm (LOCAL DEL PUEBLO), PAGO YAPE: 948 227 636</t>
        </is>
      </c>
      <c r="W62" t="n">
        <v>50</v>
      </c>
      <c r="X62" t="n">
        <v>50</v>
      </c>
      <c r="Y62">
        <f>T62+W62+X62</f>
        <v/>
      </c>
    </row>
    <row r="63" hidden="1" ht="15.75" customHeight="1" s="4">
      <c r="A63" s="3" t="n">
        <v>16957</v>
      </c>
      <c r="B63" s="3" t="inlineStr">
        <is>
          <t>11/04/2026 al 10/05/2026</t>
        </is>
      </c>
      <c r="C63" s="2" t="n">
        <v>46179</v>
      </c>
      <c r="D63" s="2" t="n">
        <v>46174</v>
      </c>
      <c r="E63" s="2" t="n">
        <v>46122</v>
      </c>
      <c r="F63" s="2" t="n">
        <v>46152</v>
      </c>
      <c r="G63" t="inlineStr">
        <is>
          <t>MIGUEL AMBROSIO COSME</t>
        </is>
      </c>
      <c r="H63" t="inlineStr">
        <is>
          <t>B1</t>
        </is>
      </c>
      <c r="I63" t="inlineStr">
        <is>
          <t>2</t>
        </is>
      </c>
      <c r="L63">
        <f>K63-J63</f>
        <v/>
      </c>
      <c r="S63" t="n">
        <v>0</v>
      </c>
      <c r="T63" s="3">
        <f>SUM(O63:S63)</f>
        <v/>
      </c>
      <c r="U63" s="3">
        <f>IF(P63&lt;8,"USTED ESTÁ AL DÍA","USTED NO ESTÁ AL DÍA")</f>
        <v/>
      </c>
      <c r="V63" s="3" t="inlineStr">
        <is>
          <t>PAGO PRESENCIAL:  05/06 de 4-6 pm (LOCAL DEL PUEBLO), PAGO YAPE: 948 227 636</t>
        </is>
      </c>
      <c r="W63" t="n">
        <v>50</v>
      </c>
      <c r="X63" t="n">
        <v>50</v>
      </c>
      <c r="Y63">
        <f>T63+W63+X63</f>
        <v/>
      </c>
    </row>
    <row r="64" hidden="1" ht="15.75" customHeight="1" s="4">
      <c r="A64" s="3" t="n">
        <v>16958</v>
      </c>
      <c r="B64" s="3" t="inlineStr">
        <is>
          <t>11/04/2026 al 10/05/2026</t>
        </is>
      </c>
      <c r="C64" s="2" t="n">
        <v>46179</v>
      </c>
      <c r="D64" s="2" t="n">
        <v>46174</v>
      </c>
      <c r="E64" s="2" t="n">
        <v>46122</v>
      </c>
      <c r="F64" s="2" t="n">
        <v>46152</v>
      </c>
      <c r="G64" t="inlineStr">
        <is>
          <t>NORMA ELVIRA PALMADERA CORAQUILLO</t>
        </is>
      </c>
      <c r="H64" t="inlineStr">
        <is>
          <t>B1</t>
        </is>
      </c>
      <c r="I64" t="inlineStr">
        <is>
          <t>7</t>
        </is>
      </c>
      <c r="L64">
        <f>K64-J64</f>
        <v/>
      </c>
      <c r="S64" t="n">
        <v>0</v>
      </c>
      <c r="T64" s="3">
        <f>SUM(O64:S64)</f>
        <v/>
      </c>
      <c r="U64" s="3">
        <f>IF(P64&lt;8,"USTED ESTÁ AL DÍA","USTED NO ESTÁ AL DÍA")</f>
        <v/>
      </c>
      <c r="V64" s="3" t="inlineStr">
        <is>
          <t>PAGO PRESENCIAL:  05/06 de 4-6 pm (LOCAL DEL PUEBLO), PAGO YAPE: 948 227 636</t>
        </is>
      </c>
      <c r="W64" t="n">
        <v>50</v>
      </c>
      <c r="X64" t="n">
        <v>75</v>
      </c>
      <c r="Y64">
        <f>T64+W64+X64</f>
        <v/>
      </c>
    </row>
    <row r="65" hidden="1" ht="15.75" customHeight="1" s="4">
      <c r="A65" s="3" t="n">
        <v>16959</v>
      </c>
      <c r="B65" s="3" t="inlineStr">
        <is>
          <t>11/04/2026 al 10/05/2026</t>
        </is>
      </c>
      <c r="C65" s="2" t="n">
        <v>46179</v>
      </c>
      <c r="D65" s="2" t="n">
        <v>46174</v>
      </c>
      <c r="E65" s="2" t="n">
        <v>46122</v>
      </c>
      <c r="F65" s="2" t="n">
        <v>46152</v>
      </c>
      <c r="G65" t="inlineStr">
        <is>
          <t>VICTOR LOPEZ TRUJILLO</t>
        </is>
      </c>
      <c r="H65" t="inlineStr">
        <is>
          <t>C</t>
        </is>
      </c>
      <c r="I65" t="inlineStr">
        <is>
          <t>7</t>
        </is>
      </c>
      <c r="J65" t="n">
        <v>79</v>
      </c>
      <c r="K65" t="n">
        <v>103</v>
      </c>
      <c r="L65">
        <f>K65-J65</f>
        <v/>
      </c>
      <c r="M65" t="n">
        <v>24</v>
      </c>
      <c r="N65">
        <f>IF(L65&lt;&gt;M65,1,0)</f>
        <v/>
      </c>
      <c r="O65" t="n">
        <v>24</v>
      </c>
      <c r="P65" t="n">
        <v>29</v>
      </c>
      <c r="R65" t="n">
        <v>25</v>
      </c>
      <c r="S65" t="n">
        <v>3</v>
      </c>
      <c r="T65" s="3">
        <f>SUM(O65:S65)</f>
        <v/>
      </c>
      <c r="U65" s="3">
        <f>IF(P65&lt;8,"USTED ESTÁ AL DÍA","USTED NO ESTÁ AL DÍA")</f>
        <v/>
      </c>
      <c r="V65" s="3" t="inlineStr">
        <is>
          <t>PAGO PRESENCIAL:  05/06 de 4-6 pm (LOCAL DEL PUEBLO), PAGO YAPE: 948 227 636</t>
        </is>
      </c>
      <c r="W65" t="n">
        <v>0</v>
      </c>
      <c r="Y65">
        <f>T65+W65+X65</f>
        <v/>
      </c>
    </row>
    <row r="66" hidden="1" ht="15.75" customHeight="1" s="4">
      <c r="A66" s="3" t="n">
        <v>16960</v>
      </c>
      <c r="B66" s="3" t="inlineStr">
        <is>
          <t>11/04/2026 al 10/05/2026</t>
        </is>
      </c>
      <c r="C66" s="2" t="n">
        <v>46179</v>
      </c>
      <c r="D66" s="2" t="n">
        <v>46174</v>
      </c>
      <c r="E66" s="2" t="n">
        <v>46122</v>
      </c>
      <c r="F66" s="2" t="n">
        <v>46152</v>
      </c>
      <c r="G66" t="inlineStr">
        <is>
          <t>JULISSA BARRETO QUITO</t>
        </is>
      </c>
      <c r="H66" t="inlineStr">
        <is>
          <t>C</t>
        </is>
      </c>
      <c r="I66" t="inlineStr">
        <is>
          <t>8</t>
        </is>
      </c>
      <c r="J66" t="n">
        <v>295</v>
      </c>
      <c r="K66" t="n">
        <v>301</v>
      </c>
      <c r="L66">
        <f>K66-J66</f>
        <v/>
      </c>
      <c r="M66" t="n">
        <v>6</v>
      </c>
      <c r="N66">
        <f>IF(L66&lt;&gt;M66,1,0)</f>
        <v/>
      </c>
      <c r="O66" t="n">
        <v>6</v>
      </c>
      <c r="P66" t="n">
        <v>11</v>
      </c>
      <c r="S66" t="n">
        <v>3</v>
      </c>
      <c r="T66" s="3">
        <f>SUM(O66:S66)</f>
        <v/>
      </c>
      <c r="U66" s="3">
        <f>IF(P66&lt;8,"USTED ESTÁ AL DÍA","USTED NO ESTÁ AL DÍA")</f>
        <v/>
      </c>
      <c r="V66" s="3" t="inlineStr">
        <is>
          <t>PAGO PRESENCIAL:  05/06 de 4-6 pm (LOCAL DEL PUEBLO), PAGO YAPE: 948 227 636</t>
        </is>
      </c>
      <c r="W66" t="n">
        <v>50</v>
      </c>
      <c r="X66" t="n">
        <v>50</v>
      </c>
      <c r="Y66">
        <f>T66+W66+X66</f>
        <v/>
      </c>
    </row>
    <row r="67" hidden="1" ht="15.75" customHeight="1" s="4">
      <c r="A67" s="3" t="n">
        <v>16961</v>
      </c>
      <c r="B67" s="3" t="inlineStr">
        <is>
          <t>11/04/2026 al 10/05/2026</t>
        </is>
      </c>
      <c r="C67" s="2" t="n">
        <v>46179</v>
      </c>
      <c r="D67" s="2" t="n">
        <v>46174</v>
      </c>
      <c r="E67" s="2" t="n">
        <v>46122</v>
      </c>
      <c r="F67" s="2" t="n">
        <v>46152</v>
      </c>
      <c r="G67" t="inlineStr">
        <is>
          <t>JAZMIN QUITO SANCHEZ</t>
        </is>
      </c>
      <c r="H67" t="inlineStr">
        <is>
          <t>C</t>
        </is>
      </c>
      <c r="I67" t="inlineStr">
        <is>
          <t>8B</t>
        </is>
      </c>
      <c r="J67" t="n">
        <v>1031</v>
      </c>
      <c r="K67" t="n">
        <v>1047</v>
      </c>
      <c r="L67">
        <f>K67-J67</f>
        <v/>
      </c>
      <c r="M67" t="n">
        <v>16</v>
      </c>
      <c r="N67">
        <f>IF(L67&lt;&gt;M67,1,0)</f>
        <v/>
      </c>
      <c r="O67" t="n">
        <v>16</v>
      </c>
      <c r="P67" t="n">
        <v>17</v>
      </c>
      <c r="S67" t="n">
        <v>3</v>
      </c>
      <c r="T67" s="3">
        <f>SUM(O67:S67)</f>
        <v/>
      </c>
      <c r="U67" s="3">
        <f>IF(P67&lt;8,"USTED ESTÁ AL DÍA","USTED NO ESTÁ AL DÍA")</f>
        <v/>
      </c>
      <c r="V67" s="3" t="inlineStr">
        <is>
          <t>PAGO PRESENCIAL:  05/06 de 4-6 pm (LOCAL DEL PUEBLO), PAGO YAPE: 948 227 636</t>
        </is>
      </c>
      <c r="Y67">
        <f>T67+W67+X67</f>
        <v/>
      </c>
    </row>
    <row r="68" hidden="1" ht="15.75" customHeight="1" s="4">
      <c r="A68" s="3" t="n">
        <v>16962</v>
      </c>
      <c r="B68" s="3" t="inlineStr">
        <is>
          <t>11/04/2026 al 10/05/2026</t>
        </is>
      </c>
      <c r="C68" s="2" t="n">
        <v>46179</v>
      </c>
      <c r="D68" s="2" t="n">
        <v>46174</v>
      </c>
      <c r="E68" s="2" t="n">
        <v>46122</v>
      </c>
      <c r="F68" s="2" t="n">
        <v>46152</v>
      </c>
      <c r="G68" t="inlineStr">
        <is>
          <t>JUAN UCULMANA SANCHEZ</t>
        </is>
      </c>
      <c r="H68" t="inlineStr">
        <is>
          <t>C</t>
        </is>
      </c>
      <c r="I68" t="inlineStr">
        <is>
          <t>9</t>
        </is>
      </c>
      <c r="J68" t="n">
        <v>2159</v>
      </c>
      <c r="K68" t="n">
        <v>2160</v>
      </c>
      <c r="L68">
        <f>K68-J68</f>
        <v/>
      </c>
      <c r="M68" t="n">
        <v>5</v>
      </c>
      <c r="O68" t="n">
        <v>5</v>
      </c>
      <c r="P68" t="n">
        <v>11</v>
      </c>
      <c r="S68" t="n">
        <v>3</v>
      </c>
      <c r="T68" s="3">
        <f>SUM(O68:S68)</f>
        <v/>
      </c>
      <c r="U68" s="3">
        <f>IF(P68&lt;8,"USTED ESTÁ AL DÍA","USTED NO ESTÁ AL DÍA")</f>
        <v/>
      </c>
      <c r="V68" s="3" t="inlineStr">
        <is>
          <t>PAGO PRESENCIAL:  05/06 de 4-6 pm (LOCAL DEL PUEBLO), PAGO YAPE: 948 227 636</t>
        </is>
      </c>
      <c r="W68" t="n">
        <v>50</v>
      </c>
      <c r="X68" t="n">
        <v>50</v>
      </c>
      <c r="Y68">
        <f>T68+W68+X68</f>
        <v/>
      </c>
    </row>
    <row r="69" hidden="1" ht="15.75" customHeight="1" s="4">
      <c r="A69" s="3" t="n">
        <v>16963</v>
      </c>
      <c r="B69" s="3" t="inlineStr">
        <is>
          <t>11/04/2026 al 10/05/2026</t>
        </is>
      </c>
      <c r="C69" s="2" t="n">
        <v>46179</v>
      </c>
      <c r="D69" s="2" t="n">
        <v>46174</v>
      </c>
      <c r="E69" s="2" t="n">
        <v>46122</v>
      </c>
      <c r="F69" s="2" t="n">
        <v>46152</v>
      </c>
      <c r="G69" t="inlineStr">
        <is>
          <t>PUESTO DE SALUD TUPAC AMARU</t>
        </is>
      </c>
      <c r="H69" t="inlineStr">
        <is>
          <t>C</t>
        </is>
      </c>
      <c r="I69" t="inlineStr">
        <is>
          <t>21</t>
        </is>
      </c>
      <c r="J69" t="n">
        <v>1719</v>
      </c>
      <c r="K69" t="n">
        <v>1739</v>
      </c>
      <c r="L69">
        <f>K69-J69</f>
        <v/>
      </c>
      <c r="M69" t="n">
        <v>20</v>
      </c>
      <c r="N69">
        <f>IF(L69&lt;&gt;M69,1,0)</f>
        <v/>
      </c>
      <c r="O69" t="n">
        <v>20</v>
      </c>
      <c r="P69" t="n">
        <v>49</v>
      </c>
      <c r="S69" t="n">
        <v>3</v>
      </c>
      <c r="T69" s="3">
        <f>SUM(O69:S69)</f>
        <v/>
      </c>
      <c r="U69" s="3">
        <f>IF(P69&lt;8,"USTED ESTÁ AL DÍA","USTED NO ESTÁ AL DÍA")</f>
        <v/>
      </c>
      <c r="V69" s="3" t="inlineStr">
        <is>
          <t>PAGO PRESENCIAL:  05/06 de 4-6 pm (LOCAL DEL PUEBLO), PAGO YAPE: 948 227 636</t>
        </is>
      </c>
      <c r="W69" t="n">
        <v>50</v>
      </c>
      <c r="Y69">
        <f>T69+W69+X69</f>
        <v/>
      </c>
    </row>
    <row r="70" hidden="1" ht="15.75" customHeight="1" s="4">
      <c r="A70" s="3" t="n">
        <v>16964</v>
      </c>
      <c r="B70" s="3" t="inlineStr">
        <is>
          <t>11/04/2026 al 10/05/2026</t>
        </is>
      </c>
      <c r="C70" s="2" t="n">
        <v>46179</v>
      </c>
      <c r="D70" s="2" t="n">
        <v>46174</v>
      </c>
      <c r="E70" s="2" t="n">
        <v>46122</v>
      </c>
      <c r="F70" s="2" t="n">
        <v>46152</v>
      </c>
      <c r="G70" t="inlineStr">
        <is>
          <t>ODILON CERNA ROMERO</t>
        </is>
      </c>
      <c r="H70" t="inlineStr">
        <is>
          <t>C</t>
        </is>
      </c>
      <c r="I70" t="inlineStr">
        <is>
          <t>1</t>
        </is>
      </c>
      <c r="J70" t="n">
        <v>37</v>
      </c>
      <c r="K70" t="n">
        <v>51</v>
      </c>
      <c r="L70">
        <f>K70-J70</f>
        <v/>
      </c>
      <c r="M70" t="n">
        <v>14</v>
      </c>
      <c r="N70">
        <f>IF(L70&lt;&gt;M70,1,0)</f>
        <v/>
      </c>
      <c r="O70" t="n">
        <v>14</v>
      </c>
      <c r="R70" t="n">
        <v>25</v>
      </c>
      <c r="S70" t="n">
        <v>3</v>
      </c>
      <c r="T70" s="3">
        <f>SUM(O70:S70)</f>
        <v/>
      </c>
      <c r="U70" s="3">
        <f>IF(P70&lt;8,"USTED ESTÁ AL DÍA","USTED NO ESTÁ AL DÍA")</f>
        <v/>
      </c>
      <c r="V70" s="3" t="inlineStr">
        <is>
          <t>PAGO PRESENCIAL:  05/06 de 4-6 pm (LOCAL DEL PUEBLO), PAGO YAPE: 948 227 636</t>
        </is>
      </c>
      <c r="W70" t="n">
        <v>50</v>
      </c>
      <c r="X70" t="n">
        <v>50</v>
      </c>
      <c r="Y70">
        <f>T70+W70+X70</f>
        <v/>
      </c>
    </row>
    <row r="71" hidden="1" ht="15.75" customHeight="1" s="4">
      <c r="A71" s="3" t="n">
        <v>16965</v>
      </c>
      <c r="B71" s="3" t="inlineStr">
        <is>
          <t>11/04/2026 al 10/05/2026</t>
        </is>
      </c>
      <c r="C71" s="2" t="n">
        <v>46179</v>
      </c>
      <c r="D71" s="2" t="n">
        <v>46174</v>
      </c>
      <c r="E71" s="2" t="n">
        <v>46122</v>
      </c>
      <c r="F71" s="2" t="n">
        <v>46152</v>
      </c>
      <c r="G71" t="inlineStr">
        <is>
          <t>OLGA FLORENTINA HUERTA AGAMA</t>
        </is>
      </c>
      <c r="H71" t="inlineStr">
        <is>
          <t>C</t>
        </is>
      </c>
      <c r="I71" t="inlineStr">
        <is>
          <t>2</t>
        </is>
      </c>
      <c r="J71" t="n">
        <v>11</v>
      </c>
      <c r="K71" t="n">
        <v>16</v>
      </c>
      <c r="L71">
        <f>K71-J71</f>
        <v/>
      </c>
      <c r="M71" t="n">
        <v>5</v>
      </c>
      <c r="O71" t="n">
        <v>5</v>
      </c>
      <c r="R71" t="n">
        <v>25</v>
      </c>
      <c r="S71" t="n">
        <v>3</v>
      </c>
      <c r="T71" s="3">
        <f>SUM(O71:S71)</f>
        <v/>
      </c>
      <c r="U71" s="3">
        <f>IF(P71&lt;8,"USTED ESTÁ AL DÍA","USTED NO ESTÁ AL DÍA")</f>
        <v/>
      </c>
      <c r="V71" s="3" t="inlineStr">
        <is>
          <t>PAGO PRESENCIAL:  05/06 de 4-6 pm (LOCAL DEL PUEBLO), PAGO YAPE: 948 227 636</t>
        </is>
      </c>
      <c r="W71" t="n">
        <v>30</v>
      </c>
      <c r="Y71">
        <f>T71+W71+X71</f>
        <v/>
      </c>
    </row>
    <row r="72" hidden="1" ht="15.75" customHeight="1" s="4">
      <c r="A72" s="3" t="n">
        <v>16966</v>
      </c>
      <c r="B72" s="3" t="inlineStr">
        <is>
          <t>11/04/2026 al 10/05/2026</t>
        </is>
      </c>
      <c r="C72" s="2" t="n">
        <v>46179</v>
      </c>
      <c r="D72" s="2" t="n">
        <v>46174</v>
      </c>
      <c r="E72" s="2" t="n">
        <v>46122</v>
      </c>
      <c r="F72" s="2" t="n">
        <v>46152</v>
      </c>
      <c r="G72" t="inlineStr">
        <is>
          <t>TIMOTEO ROMERO JULCA</t>
        </is>
      </c>
      <c r="H72" t="inlineStr">
        <is>
          <t>C</t>
        </is>
      </c>
      <c r="I72" t="inlineStr">
        <is>
          <t>4</t>
        </is>
      </c>
      <c r="J72" t="n">
        <v>31</v>
      </c>
      <c r="K72" t="n">
        <v>43</v>
      </c>
      <c r="L72">
        <f>K72-J72</f>
        <v/>
      </c>
      <c r="M72" t="n">
        <v>12</v>
      </c>
      <c r="N72">
        <f>IF(L72&lt;&gt;M72,1,0)</f>
        <v/>
      </c>
      <c r="O72" t="n">
        <v>12</v>
      </c>
      <c r="R72" t="n">
        <v>25</v>
      </c>
      <c r="S72" t="n">
        <v>3</v>
      </c>
      <c r="T72" s="3">
        <f>SUM(O72:S72)</f>
        <v/>
      </c>
      <c r="U72" s="3">
        <f>IF(P72&lt;8,"USTED ESTÁ AL DÍA","USTED NO ESTÁ AL DÍA")</f>
        <v/>
      </c>
      <c r="V72" s="3" t="inlineStr">
        <is>
          <t>PAGO PRESENCIAL:  05/06 de 4-6 pm (LOCAL DEL PUEBLO), PAGO YAPE: 948 227 636</t>
        </is>
      </c>
      <c r="Y72">
        <f>T72+W72+X72</f>
        <v/>
      </c>
    </row>
    <row r="73" hidden="1" ht="15.75" customHeight="1" s="4">
      <c r="A73" s="3" t="n">
        <v>16967</v>
      </c>
      <c r="B73" s="3" t="inlineStr">
        <is>
          <t>11/04/2026 al 10/05/2026</t>
        </is>
      </c>
      <c r="C73" s="2" t="n">
        <v>46179</v>
      </c>
      <c r="D73" s="2" t="n">
        <v>46174</v>
      </c>
      <c r="E73" s="2" t="n">
        <v>46122</v>
      </c>
      <c r="F73" s="2" t="n">
        <v>46152</v>
      </c>
      <c r="G73" t="inlineStr">
        <is>
          <t>AGAPITO PRINCIPE SALINAS</t>
        </is>
      </c>
      <c r="H73" t="inlineStr">
        <is>
          <t>C</t>
        </is>
      </c>
      <c r="I73" t="inlineStr">
        <is>
          <t>5</t>
        </is>
      </c>
      <c r="J73" t="n">
        <v>49</v>
      </c>
      <c r="K73" t="n">
        <v>68</v>
      </c>
      <c r="L73">
        <f>K73-J73</f>
        <v/>
      </c>
      <c r="M73" t="n">
        <v>19</v>
      </c>
      <c r="N73">
        <f>IF(L73&lt;&gt;M73,1,0)</f>
        <v/>
      </c>
      <c r="O73" t="n">
        <v>19</v>
      </c>
      <c r="R73" t="n">
        <v>25</v>
      </c>
      <c r="S73" t="n">
        <v>3</v>
      </c>
      <c r="T73" s="3">
        <f>SUM(O73:S73)</f>
        <v/>
      </c>
      <c r="U73" s="3">
        <f>IF(P73&lt;8,"USTED ESTÁ AL DÍA","USTED NO ESTÁ AL DÍA")</f>
        <v/>
      </c>
      <c r="V73" s="3" t="inlineStr">
        <is>
          <t>PAGO PRESENCIAL:  05/06 de 4-6 pm (LOCAL DEL PUEBLO), PAGO YAPE: 948 227 636</t>
        </is>
      </c>
      <c r="Y73">
        <f>T73+W73+X73</f>
        <v/>
      </c>
    </row>
    <row r="74" hidden="1" ht="15.75" customHeight="1" s="4">
      <c r="A74" s="3" t="n">
        <v>16968</v>
      </c>
      <c r="B74" s="3" t="inlineStr">
        <is>
          <t>11/04/2026 al 10/05/2026</t>
        </is>
      </c>
      <c r="C74" s="2" t="n">
        <v>46179</v>
      </c>
      <c r="D74" s="2" t="n">
        <v>46174</v>
      </c>
      <c r="E74" s="2" t="n">
        <v>46122</v>
      </c>
      <c r="F74" s="2" t="n">
        <v>46152</v>
      </c>
      <c r="G74" t="inlineStr">
        <is>
          <t>DIANA JARA TRUJILLO</t>
        </is>
      </c>
      <c r="H74" t="inlineStr">
        <is>
          <t>C</t>
        </is>
      </c>
      <c r="I74" t="inlineStr">
        <is>
          <t>6</t>
        </is>
      </c>
      <c r="J74" t="n">
        <v>605</v>
      </c>
      <c r="K74" t="n">
        <v>612</v>
      </c>
      <c r="L74">
        <f>K74-J74</f>
        <v/>
      </c>
      <c r="M74" t="n">
        <v>7</v>
      </c>
      <c r="N74">
        <f>IF(L74&lt;&gt;M74,1,0)</f>
        <v/>
      </c>
      <c r="O74" t="n">
        <v>7</v>
      </c>
      <c r="S74" t="n">
        <v>3</v>
      </c>
      <c r="T74" s="3">
        <f>SUM(O74:S74)</f>
        <v/>
      </c>
      <c r="U74" s="3">
        <f>IF(P74&lt;8,"USTED ESTÁ AL DÍA","USTED NO ESTÁ AL DÍA")</f>
        <v/>
      </c>
      <c r="V74" s="3" t="inlineStr">
        <is>
          <t>PAGO PRESENCIAL:  05/06 de 4-6 pm (LOCAL DEL PUEBLO), PAGO YAPE: 948 227 636</t>
        </is>
      </c>
      <c r="W74" t="n">
        <v>50</v>
      </c>
      <c r="Y74">
        <f>T74+W74+X74</f>
        <v/>
      </c>
    </row>
    <row r="75" hidden="1" ht="15.75" customHeight="1" s="4">
      <c r="A75" s="3" t="n">
        <v>16969</v>
      </c>
      <c r="B75" s="3" t="inlineStr">
        <is>
          <t>11/04/2026 al 10/05/2026</t>
        </is>
      </c>
      <c r="C75" s="2" t="n">
        <v>46179</v>
      </c>
      <c r="D75" s="2" t="n">
        <v>46174</v>
      </c>
      <c r="E75" s="2" t="n">
        <v>46122</v>
      </c>
      <c r="F75" s="2" t="n">
        <v>46152</v>
      </c>
      <c r="G75" t="inlineStr">
        <is>
          <t>CEVERIANO CHAUCA MORALES</t>
        </is>
      </c>
      <c r="H75" t="inlineStr">
        <is>
          <t>C</t>
        </is>
      </c>
      <c r="I75" t="inlineStr">
        <is>
          <t>11</t>
        </is>
      </c>
      <c r="J75" t="n">
        <v>867</v>
      </c>
      <c r="K75" t="n">
        <v>884</v>
      </c>
      <c r="L75">
        <f>K75-J75</f>
        <v/>
      </c>
      <c r="M75" t="n">
        <v>17</v>
      </c>
      <c r="N75">
        <f>IF(L75&lt;&gt;M75,1,0)</f>
        <v/>
      </c>
      <c r="O75" t="n">
        <v>17</v>
      </c>
      <c r="S75" t="n">
        <v>3</v>
      </c>
      <c r="T75" s="3">
        <f>SUM(O75:S75)</f>
        <v/>
      </c>
      <c r="U75" s="3">
        <f>IF(P75&lt;8,"USTED ESTÁ AL DÍA","USTED NO ESTÁ AL DÍA")</f>
        <v/>
      </c>
      <c r="V75" s="3" t="inlineStr">
        <is>
          <t>PAGO PRESENCIAL:  05/06 de 4-6 pm (LOCAL DEL PUEBLO), PAGO YAPE: 948 227 636</t>
        </is>
      </c>
      <c r="W75" t="n">
        <v>50</v>
      </c>
      <c r="Y75">
        <f>T75+W75+X75</f>
        <v/>
      </c>
    </row>
    <row r="76" hidden="1" ht="15.75" customHeight="1" s="4">
      <c r="A76" s="3" t="n">
        <v>16970</v>
      </c>
      <c r="B76" s="3" t="inlineStr">
        <is>
          <t>11/04/2026 al 10/05/2026</t>
        </is>
      </c>
      <c r="C76" s="2" t="n">
        <v>46179</v>
      </c>
      <c r="D76" s="2" t="n">
        <v>46174</v>
      </c>
      <c r="E76" s="2" t="n">
        <v>46122</v>
      </c>
      <c r="F76" s="2" t="n">
        <v>46152</v>
      </c>
      <c r="G76" t="inlineStr">
        <is>
          <t>MACEDONIO MORALES BENTURO</t>
        </is>
      </c>
      <c r="H76" t="inlineStr">
        <is>
          <t>C</t>
        </is>
      </c>
      <c r="I76" t="inlineStr">
        <is>
          <t>12</t>
        </is>
      </c>
      <c r="J76" t="n">
        <v>1698</v>
      </c>
      <c r="K76" t="n">
        <v>1712</v>
      </c>
      <c r="L76">
        <f>K76-J76</f>
        <v/>
      </c>
      <c r="M76" t="n">
        <v>14</v>
      </c>
      <c r="N76">
        <f>IF(L76&lt;&gt;M76,1,0)</f>
        <v/>
      </c>
      <c r="O76" t="n">
        <v>14</v>
      </c>
      <c r="S76" t="n">
        <v>3</v>
      </c>
      <c r="T76" s="3">
        <f>SUM(O76:S76)</f>
        <v/>
      </c>
      <c r="U76" s="3">
        <f>IF(P76&lt;8,"USTED ESTÁ AL DÍA","USTED NO ESTÁ AL DÍA")</f>
        <v/>
      </c>
      <c r="V76" s="3" t="inlineStr">
        <is>
          <t>PAGO PRESENCIAL:  05/06 de 4-6 pm (LOCAL DEL PUEBLO), PAGO YAPE: 948 227 636</t>
        </is>
      </c>
      <c r="Y76">
        <f>T76+W76+X76</f>
        <v/>
      </c>
    </row>
    <row r="77" hidden="1" ht="15.75" customHeight="1" s="4">
      <c r="A77" s="3" t="n">
        <v>16971</v>
      </c>
      <c r="B77" s="3" t="inlineStr">
        <is>
          <t>11/04/2026 al 10/05/2026</t>
        </is>
      </c>
      <c r="C77" s="2" t="n">
        <v>46179</v>
      </c>
      <c r="D77" s="2" t="n">
        <v>46174</v>
      </c>
      <c r="E77" s="2" t="n">
        <v>46122</v>
      </c>
      <c r="F77" s="2" t="n">
        <v>46152</v>
      </c>
      <c r="G77" t="inlineStr">
        <is>
          <t>ANALY QUINECHE MORANTE</t>
        </is>
      </c>
      <c r="H77" t="inlineStr">
        <is>
          <t>C</t>
        </is>
      </c>
      <c r="I77" t="inlineStr">
        <is>
          <t>35</t>
        </is>
      </c>
      <c r="J77" t="n">
        <v>651</v>
      </c>
      <c r="K77" t="n">
        <v>671</v>
      </c>
      <c r="L77">
        <f>K77-J77</f>
        <v/>
      </c>
      <c r="M77" t="n">
        <v>20</v>
      </c>
      <c r="N77">
        <f>IF(L77&lt;&gt;M77,1,0)</f>
        <v/>
      </c>
      <c r="O77" t="n">
        <v>20</v>
      </c>
      <c r="P77" t="n">
        <v>20</v>
      </c>
      <c r="R77" t="n">
        <v>300</v>
      </c>
      <c r="S77" t="n">
        <v>3</v>
      </c>
      <c r="T77" s="3">
        <f>SUM(O77:S77)</f>
        <v/>
      </c>
      <c r="U77" s="3">
        <f>IF(P77&lt;8,"USTED ESTÁ AL DÍA","USTED NO ESTÁ AL DÍA")</f>
        <v/>
      </c>
      <c r="V77" s="3" t="inlineStr">
        <is>
          <t>PAGO PRESENCIAL:  05/06 de 4-6 pm (LOCAL DEL PUEBLO), PAGO YAPE: 948 227 636</t>
        </is>
      </c>
      <c r="W77" t="n">
        <v>60</v>
      </c>
      <c r="X77" t="n">
        <v>75</v>
      </c>
      <c r="Y77">
        <f>T77+W77+X77</f>
        <v/>
      </c>
    </row>
    <row r="78" hidden="1" ht="15.75" customHeight="1" s="4">
      <c r="A78" s="3" t="n">
        <v>16972</v>
      </c>
      <c r="B78" s="3" t="inlineStr">
        <is>
          <t>11/04/2026 al 10/05/2026</t>
        </is>
      </c>
      <c r="C78" s="2" t="n">
        <v>46179</v>
      </c>
      <c r="D78" s="2" t="n">
        <v>46174</v>
      </c>
      <c r="E78" s="2" t="n">
        <v>46122</v>
      </c>
      <c r="F78" s="2" t="n">
        <v>46152</v>
      </c>
      <c r="G78" t="inlineStr">
        <is>
          <t>IRMA HUAÑAHUI LOPEZ</t>
        </is>
      </c>
      <c r="H78" t="inlineStr">
        <is>
          <t>C</t>
        </is>
      </c>
      <c r="I78" t="inlineStr">
        <is>
          <t>13</t>
        </is>
      </c>
      <c r="J78" t="n">
        <v>18</v>
      </c>
      <c r="K78" t="n">
        <v>24</v>
      </c>
      <c r="L78">
        <f>K78-J78</f>
        <v/>
      </c>
      <c r="M78" t="n">
        <v>6</v>
      </c>
      <c r="N78">
        <f>IF(L78&lt;&gt;M78,1,0)</f>
        <v/>
      </c>
      <c r="O78" t="n">
        <v>6</v>
      </c>
      <c r="R78" t="n">
        <v>25</v>
      </c>
      <c r="S78" t="n">
        <v>3</v>
      </c>
      <c r="T78" s="3">
        <f>SUM(O78:S78)</f>
        <v/>
      </c>
      <c r="U78" s="3">
        <f>IF(P78&lt;8,"USTED ESTÁ AL DÍA","USTED NO ESTÁ AL DÍA")</f>
        <v/>
      </c>
      <c r="V78" s="3" t="inlineStr">
        <is>
          <t>PAGO PRESENCIAL:  05/06 de 4-6 pm (LOCAL DEL PUEBLO), PAGO YAPE: 948 227 636</t>
        </is>
      </c>
      <c r="Y78">
        <f>T78+W78+X78</f>
        <v/>
      </c>
    </row>
    <row r="79" hidden="1" ht="15.75" customHeight="1" s="4">
      <c r="A79" s="3" t="n">
        <v>16973</v>
      </c>
      <c r="B79" s="3" t="inlineStr">
        <is>
          <t>11/04/2026 al 10/05/2026</t>
        </is>
      </c>
      <c r="C79" s="2" t="n">
        <v>46179</v>
      </c>
      <c r="D79" s="2" t="n">
        <v>46174</v>
      </c>
      <c r="E79" s="2" t="n">
        <v>46122</v>
      </c>
      <c r="F79" s="2" t="n">
        <v>46152</v>
      </c>
      <c r="G79" t="inlineStr">
        <is>
          <t>JUAN RIOS BLAS</t>
        </is>
      </c>
      <c r="H79" t="inlineStr">
        <is>
          <t>C</t>
        </is>
      </c>
      <c r="I79" t="inlineStr">
        <is>
          <t>14</t>
        </is>
      </c>
      <c r="J79" t="n">
        <v>15</v>
      </c>
      <c r="K79" t="n">
        <v>26</v>
      </c>
      <c r="L79">
        <f>K79-J79</f>
        <v/>
      </c>
      <c r="M79" t="n">
        <v>11</v>
      </c>
      <c r="N79">
        <f>IF(L79&lt;&gt;M79,1,0)</f>
        <v/>
      </c>
      <c r="O79" t="n">
        <v>11</v>
      </c>
      <c r="P79" t="n">
        <v>0</v>
      </c>
      <c r="R79" t="n">
        <v>25</v>
      </c>
      <c r="S79" t="n">
        <v>3</v>
      </c>
      <c r="T79" s="3">
        <f>SUM(O79:S79)</f>
        <v/>
      </c>
      <c r="U79" s="3">
        <f>IF(P79&lt;8,"USTED ESTÁ AL DÍA","USTED NO ESTÁ AL DÍA")</f>
        <v/>
      </c>
      <c r="V79" s="3" t="inlineStr">
        <is>
          <t>PAGO PRESENCIAL:  05/06 de 4-6 pm (LOCAL DEL PUEBLO), PAGO YAPE: 948 227 636</t>
        </is>
      </c>
      <c r="Y79">
        <f>T79+W79+X79</f>
        <v/>
      </c>
    </row>
    <row r="80" hidden="1" ht="15.75" customHeight="1" s="4">
      <c r="A80" s="3" t="n">
        <v>16974</v>
      </c>
      <c r="B80" s="3" t="inlineStr">
        <is>
          <t>11/04/2026 al 10/05/2026</t>
        </is>
      </c>
      <c r="C80" s="2" t="n">
        <v>46179</v>
      </c>
      <c r="D80" s="2" t="n">
        <v>46174</v>
      </c>
      <c r="E80" s="2" t="n">
        <v>46122</v>
      </c>
      <c r="F80" s="2" t="n">
        <v>46152</v>
      </c>
      <c r="G80" t="inlineStr">
        <is>
          <t>JULIO RIOS BLAS</t>
        </is>
      </c>
      <c r="H80" t="inlineStr">
        <is>
          <t>C</t>
        </is>
      </c>
      <c r="I80" t="inlineStr">
        <is>
          <t>15</t>
        </is>
      </c>
      <c r="J80" t="n">
        <v>147</v>
      </c>
      <c r="K80" t="n">
        <v>156</v>
      </c>
      <c r="L80">
        <f>K80-J80</f>
        <v/>
      </c>
      <c r="M80" t="n">
        <v>9</v>
      </c>
      <c r="N80">
        <f>IF(L80&lt;&gt;M80,1,0)</f>
        <v/>
      </c>
      <c r="O80" t="n">
        <v>9</v>
      </c>
      <c r="S80" t="n">
        <v>3</v>
      </c>
      <c r="T80" s="3">
        <f>SUM(O80:S80)</f>
        <v/>
      </c>
      <c r="U80" s="3">
        <f>IF(P80&lt;8,"USTED ESTÁ AL DÍA","USTED NO ESTÁ AL DÍA")</f>
        <v/>
      </c>
      <c r="V80" s="3" t="inlineStr">
        <is>
          <t>PAGO PRESENCIAL:  05/06 de 4-6 pm (LOCAL DEL PUEBLO), PAGO YAPE: 948 227 636</t>
        </is>
      </c>
      <c r="Y80">
        <f>T80+W80+X80</f>
        <v/>
      </c>
    </row>
    <row r="81" hidden="1" ht="15.75" customHeight="1" s="4">
      <c r="A81" s="3" t="n">
        <v>16975</v>
      </c>
      <c r="B81" s="3" t="inlineStr">
        <is>
          <t>11/04/2026 al 10/05/2026</t>
        </is>
      </c>
      <c r="C81" s="2" t="n">
        <v>46179</v>
      </c>
      <c r="D81" s="2" t="n">
        <v>46174</v>
      </c>
      <c r="E81" s="2" t="n">
        <v>46122</v>
      </c>
      <c r="F81" s="2" t="n">
        <v>46152</v>
      </c>
      <c r="G81" t="inlineStr">
        <is>
          <t>JANET EVARISTO COCHACHIN</t>
        </is>
      </c>
      <c r="H81" t="inlineStr">
        <is>
          <t>C</t>
        </is>
      </c>
      <c r="I81" t="inlineStr">
        <is>
          <t>43</t>
        </is>
      </c>
      <c r="J81" t="n">
        <v>0</v>
      </c>
      <c r="K81" t="n">
        <v>0</v>
      </c>
      <c r="L81">
        <f>K81-J81</f>
        <v/>
      </c>
      <c r="M81" t="n">
        <v>5</v>
      </c>
      <c r="O81" t="n">
        <v>5</v>
      </c>
      <c r="P81" t="n">
        <v>8</v>
      </c>
      <c r="R81" t="n">
        <v>346</v>
      </c>
      <c r="S81" t="n">
        <v>3</v>
      </c>
      <c r="T81" s="3">
        <f>SUM(O81:S81)</f>
        <v/>
      </c>
      <c r="U81" s="3">
        <f>IF(P81&lt;8,"USTED ESTÁ AL DÍA","USTED NO ESTÁ AL DÍA")</f>
        <v/>
      </c>
      <c r="V81" s="3" t="inlineStr">
        <is>
          <t>PAGO PRESENCIAL:  05/06 de 4-6 pm (LOCAL DEL PUEBLO), PAGO YAPE: 948 227 636</t>
        </is>
      </c>
      <c r="Y81">
        <f>T81+W81+X81</f>
        <v/>
      </c>
    </row>
    <row r="82" hidden="1" ht="15.75" customHeight="1" s="4">
      <c r="A82" s="3" t="n">
        <v>16976</v>
      </c>
      <c r="B82" s="3" t="inlineStr">
        <is>
          <t>11/04/2026 al 10/05/2026</t>
        </is>
      </c>
      <c r="C82" s="2" t="n">
        <v>46179</v>
      </c>
      <c r="D82" s="2" t="n">
        <v>46174</v>
      </c>
      <c r="E82" s="2" t="n">
        <v>46122</v>
      </c>
      <c r="F82" s="2" t="n">
        <v>46152</v>
      </c>
      <c r="G82" t="inlineStr">
        <is>
          <t>MARTHA MASIAS CASIHUAMAN DE TERAN</t>
        </is>
      </c>
      <c r="H82" t="inlineStr">
        <is>
          <t>C</t>
        </is>
      </c>
      <c r="I82" t="inlineStr">
        <is>
          <t>16</t>
        </is>
      </c>
      <c r="J82" t="n">
        <v>56</v>
      </c>
      <c r="K82" t="n">
        <v>59</v>
      </c>
      <c r="L82">
        <f>K82-J82</f>
        <v/>
      </c>
      <c r="M82" t="n">
        <v>5</v>
      </c>
      <c r="O82" t="n">
        <v>5</v>
      </c>
      <c r="R82" t="n">
        <v>25</v>
      </c>
      <c r="S82" t="n">
        <v>3</v>
      </c>
      <c r="T82" s="3">
        <f>SUM(O82:S82)</f>
        <v/>
      </c>
      <c r="U82" s="3">
        <f>IF(P82&lt;8,"USTED ESTÁ AL DÍA","USTED NO ESTÁ AL DÍA")</f>
        <v/>
      </c>
      <c r="V82" s="3" t="inlineStr">
        <is>
          <t>PAGO PRESENCIAL:  05/06 de 4-6 pm (LOCAL DEL PUEBLO), PAGO YAPE: 948 227 636</t>
        </is>
      </c>
      <c r="W82" t="n">
        <v>30</v>
      </c>
      <c r="Y82">
        <f>T82+W82+X82</f>
        <v/>
      </c>
    </row>
    <row r="83" hidden="1" ht="15.75" customHeight="1" s="4">
      <c r="A83" s="3" t="n">
        <v>16977</v>
      </c>
      <c r="B83" s="3" t="inlineStr">
        <is>
          <t>11/04/2026 al 10/05/2026</t>
        </is>
      </c>
      <c r="C83" s="2" t="n">
        <v>46179</v>
      </c>
      <c r="D83" s="2" t="n">
        <v>46174</v>
      </c>
      <c r="E83" s="2" t="n">
        <v>46122</v>
      </c>
      <c r="F83" s="2" t="n">
        <v>46152</v>
      </c>
      <c r="G83" t="inlineStr">
        <is>
          <t>MARCELINO VALLADARES TRUJILLO</t>
        </is>
      </c>
      <c r="H83" t="inlineStr">
        <is>
          <t>C</t>
        </is>
      </c>
      <c r="I83" t="inlineStr">
        <is>
          <t>18</t>
        </is>
      </c>
      <c r="J83" t="n">
        <v>21</v>
      </c>
      <c r="K83" t="n">
        <v>29</v>
      </c>
      <c r="L83">
        <f>K83-J83</f>
        <v/>
      </c>
      <c r="M83" t="n">
        <v>8</v>
      </c>
      <c r="N83">
        <f>IF(L83&lt;&gt;M83,1,0)</f>
        <v/>
      </c>
      <c r="O83" t="n">
        <v>8</v>
      </c>
      <c r="R83" t="n">
        <v>25</v>
      </c>
      <c r="S83" t="n">
        <v>3</v>
      </c>
      <c r="T83" s="3">
        <f>SUM(O83:S83)</f>
        <v/>
      </c>
      <c r="U83" s="3">
        <f>IF(P83&lt;8,"USTED ESTÁ AL DÍA","USTED NO ESTÁ AL DÍA")</f>
        <v/>
      </c>
      <c r="V83" s="3" t="inlineStr">
        <is>
          <t>PAGO PRESENCIAL:  05/06 de 4-6 pm (LOCAL DEL PUEBLO), PAGO YAPE: 948 227 636</t>
        </is>
      </c>
      <c r="Y83">
        <f>T83+W83+X83</f>
        <v/>
      </c>
    </row>
    <row r="84" hidden="1" ht="15.75" customHeight="1" s="4">
      <c r="A84" s="3" t="n">
        <v>16978</v>
      </c>
      <c r="B84" s="3" t="inlineStr">
        <is>
          <t>11/04/2026 al 10/05/2026</t>
        </is>
      </c>
      <c r="C84" s="2" t="n">
        <v>46179</v>
      </c>
      <c r="D84" s="2" t="n">
        <v>46174</v>
      </c>
      <c r="E84" s="2" t="n">
        <v>46122</v>
      </c>
      <c r="F84" s="2" t="n">
        <v>46152</v>
      </c>
      <c r="G84" t="inlineStr">
        <is>
          <t>ANTONIO VALLADARES DOMINGUEZ</t>
        </is>
      </c>
      <c r="H84" t="inlineStr">
        <is>
          <t>C</t>
        </is>
      </c>
      <c r="I84" t="inlineStr">
        <is>
          <t>19</t>
        </is>
      </c>
      <c r="J84" t="n">
        <v>65</v>
      </c>
      <c r="K84" t="n">
        <v>90</v>
      </c>
      <c r="L84">
        <f>K84-J84</f>
        <v/>
      </c>
      <c r="M84" t="n">
        <v>25</v>
      </c>
      <c r="N84">
        <f>IF(L84&lt;&gt;M84,1,0)</f>
        <v/>
      </c>
      <c r="O84" t="n">
        <v>25</v>
      </c>
      <c r="P84" t="n">
        <v>3</v>
      </c>
      <c r="S84" t="n">
        <v>3</v>
      </c>
      <c r="T84" s="3">
        <f>SUM(O84:S84)</f>
        <v/>
      </c>
      <c r="U84" s="3">
        <f>IF(P84&lt;8,"USTED ESTÁ AL DÍA","USTED NO ESTÁ AL DÍA")</f>
        <v/>
      </c>
      <c r="V84" s="3" t="inlineStr">
        <is>
          <t>PAGO PRESENCIAL:  05/06 de 4-6 pm (LOCAL DEL PUEBLO), PAGO YAPE: 948 227 636</t>
        </is>
      </c>
      <c r="W84" t="n">
        <v>50</v>
      </c>
      <c r="Y84">
        <f>T84+W84+X84</f>
        <v/>
      </c>
    </row>
    <row r="85" hidden="1" ht="15.75" customHeight="1" s="4">
      <c r="A85" s="3" t="n">
        <v>16979</v>
      </c>
      <c r="B85" s="3" t="inlineStr">
        <is>
          <t>11/04/2026 al 10/05/2026</t>
        </is>
      </c>
      <c r="C85" s="2" t="n">
        <v>46179</v>
      </c>
      <c r="D85" s="2" t="n">
        <v>46174</v>
      </c>
      <c r="E85" s="2" t="n">
        <v>46122</v>
      </c>
      <c r="F85" s="2" t="n">
        <v>46152</v>
      </c>
      <c r="G85" t="inlineStr">
        <is>
          <t>EUSEBIO REYES VILLAFANA</t>
        </is>
      </c>
      <c r="H85" t="inlineStr">
        <is>
          <t>C</t>
        </is>
      </c>
      <c r="I85" t="inlineStr">
        <is>
          <t>20</t>
        </is>
      </c>
      <c r="J85" t="n">
        <v>42</v>
      </c>
      <c r="K85" t="n">
        <v>60</v>
      </c>
      <c r="L85">
        <f>K85-J85</f>
        <v/>
      </c>
      <c r="M85" t="n">
        <v>18</v>
      </c>
      <c r="N85">
        <f>IF(L85&lt;&gt;M85,1,0)</f>
        <v/>
      </c>
      <c r="O85" t="n">
        <v>18</v>
      </c>
      <c r="R85" t="n">
        <v>10</v>
      </c>
      <c r="S85" t="n">
        <v>3</v>
      </c>
      <c r="T85" s="3">
        <f>SUM(O85:S85)</f>
        <v/>
      </c>
      <c r="U85" s="3">
        <f>IF(P85&lt;8,"USTED ESTÁ AL DÍA","USTED NO ESTÁ AL DÍA")</f>
        <v/>
      </c>
      <c r="V85" s="3" t="inlineStr">
        <is>
          <t>PAGO PRESENCIAL:  05/06 de 4-6 pm (LOCAL DEL PUEBLO), PAGO YAPE: 948 227 636</t>
        </is>
      </c>
      <c r="Y85">
        <f>T85+W85+X85</f>
        <v/>
      </c>
    </row>
    <row r="86" hidden="1" ht="15.75" customHeight="1" s="4">
      <c r="A86" s="3" t="n">
        <v>16980</v>
      </c>
      <c r="B86" s="3" t="inlineStr">
        <is>
          <t>11/04/2026 al 10/05/2026</t>
        </is>
      </c>
      <c r="C86" s="2" t="n">
        <v>46179</v>
      </c>
      <c r="D86" s="2" t="n">
        <v>46174</v>
      </c>
      <c r="E86" s="2" t="n">
        <v>46122</v>
      </c>
      <c r="F86" s="2" t="n">
        <v>46152</v>
      </c>
      <c r="G86" t="inlineStr">
        <is>
          <t>ABRAHAM BARRERA VEGA</t>
        </is>
      </c>
      <c r="H86" t="inlineStr">
        <is>
          <t>C</t>
        </is>
      </c>
      <c r="I86" t="inlineStr">
        <is>
          <t>22</t>
        </is>
      </c>
      <c r="J86" t="n">
        <v>144</v>
      </c>
      <c r="K86" t="n">
        <v>148</v>
      </c>
      <c r="L86">
        <f>K86-J86</f>
        <v/>
      </c>
      <c r="M86" t="n">
        <v>5</v>
      </c>
      <c r="O86" t="n">
        <v>5</v>
      </c>
      <c r="S86" t="n">
        <v>3</v>
      </c>
      <c r="T86" s="3">
        <f>SUM(O86:S86)</f>
        <v/>
      </c>
      <c r="U86" s="3">
        <f>IF(P86&lt;8,"USTED ESTÁ AL DÍA","USTED NO ESTÁ AL DÍA")</f>
        <v/>
      </c>
      <c r="V86" s="3" t="inlineStr">
        <is>
          <t>PAGO PRESENCIAL:  05/06 de 4-6 pm (LOCAL DEL PUEBLO), PAGO YAPE: 948 227 636</t>
        </is>
      </c>
      <c r="W86" t="n">
        <v>20</v>
      </c>
      <c r="Y86">
        <f>T86+W86+X86</f>
        <v/>
      </c>
    </row>
    <row r="87" hidden="1" ht="15.75" customHeight="1" s="4">
      <c r="A87" s="3" t="n">
        <v>16981</v>
      </c>
      <c r="B87" s="3" t="inlineStr">
        <is>
          <t>11/04/2026 al 10/05/2026</t>
        </is>
      </c>
      <c r="C87" s="2" t="n">
        <v>46179</v>
      </c>
      <c r="D87" s="2" t="n">
        <v>46174</v>
      </c>
      <c r="E87" s="2" t="n">
        <v>46122</v>
      </c>
      <c r="F87" s="2" t="n">
        <v>46152</v>
      </c>
      <c r="G87" t="inlineStr">
        <is>
          <t>ANTONIA MAYO TRUJILLO</t>
        </is>
      </c>
      <c r="H87" t="inlineStr">
        <is>
          <t>C</t>
        </is>
      </c>
      <c r="I87" t="inlineStr">
        <is>
          <t>23</t>
        </is>
      </c>
      <c r="J87" t="n">
        <v>304</v>
      </c>
      <c r="K87" t="n">
        <v>328</v>
      </c>
      <c r="L87">
        <f>K87-J87</f>
        <v/>
      </c>
      <c r="M87" t="n">
        <v>24</v>
      </c>
      <c r="N87">
        <f>IF(L87&lt;&gt;M87,1,0)</f>
        <v/>
      </c>
      <c r="O87" t="n">
        <v>24</v>
      </c>
      <c r="S87" t="n">
        <v>3</v>
      </c>
      <c r="T87" s="3">
        <f>SUM(O87:S87)</f>
        <v/>
      </c>
      <c r="U87" s="3">
        <f>IF(P87&lt;8,"USTED ESTÁ AL DÍA","USTED NO ESTÁ AL DÍA")</f>
        <v/>
      </c>
      <c r="V87" s="3" t="inlineStr">
        <is>
          <t>PAGO PRESENCIAL:  05/06 de 4-6 pm (LOCAL DEL PUEBLO), PAGO YAPE: 948 227 636</t>
        </is>
      </c>
      <c r="W87" t="n">
        <v>30</v>
      </c>
      <c r="Y87">
        <f>T87+W87+X87</f>
        <v/>
      </c>
    </row>
    <row r="88" hidden="1" ht="15.75" customHeight="1" s="4">
      <c r="A88" s="3" t="n">
        <v>16982</v>
      </c>
      <c r="B88" s="3" t="inlineStr">
        <is>
          <t>11/04/2026 al 10/05/2026</t>
        </is>
      </c>
      <c r="C88" s="2" t="n">
        <v>46179</v>
      </c>
      <c r="D88" s="2" t="n">
        <v>46174</v>
      </c>
      <c r="E88" s="2" t="n">
        <v>46122</v>
      </c>
      <c r="F88" s="2" t="n">
        <v>46152</v>
      </c>
      <c r="G88" t="inlineStr">
        <is>
          <t>ALFREDO CARLOS VENTURO CAPCHA</t>
        </is>
      </c>
      <c r="H88" t="inlineStr">
        <is>
          <t>C</t>
        </is>
      </c>
      <c r="I88" t="inlineStr">
        <is>
          <t>24</t>
        </is>
      </c>
      <c r="J88" t="n">
        <v>548</v>
      </c>
      <c r="K88" t="n">
        <v>549</v>
      </c>
      <c r="L88">
        <f>K88-J88</f>
        <v/>
      </c>
      <c r="M88" t="n">
        <v>5</v>
      </c>
      <c r="O88" t="n">
        <v>5</v>
      </c>
      <c r="S88" t="n">
        <v>3</v>
      </c>
      <c r="T88" s="3">
        <f>SUM(O88:S88)</f>
        <v/>
      </c>
      <c r="U88" s="3">
        <f>IF(P88&lt;8,"USTED ESTÁ AL DÍA","USTED NO ESTÁ AL DÍA")</f>
        <v/>
      </c>
      <c r="V88" s="3" t="inlineStr">
        <is>
          <t>PAGO PRESENCIAL:  05/06 de 4-6 pm (LOCAL DEL PUEBLO), PAGO YAPE: 948 227 636</t>
        </is>
      </c>
      <c r="W88" t="n">
        <v>50</v>
      </c>
      <c r="Y88">
        <f>T88+W88+X88</f>
        <v/>
      </c>
    </row>
    <row r="89" hidden="1" ht="15.75" customHeight="1" s="4">
      <c r="A89" s="3" t="n">
        <v>16983</v>
      </c>
      <c r="B89" s="3" t="inlineStr">
        <is>
          <t>11/04/2026 al 10/05/2026</t>
        </is>
      </c>
      <c r="C89" s="2" t="n">
        <v>46179</v>
      </c>
      <c r="D89" s="2" t="n">
        <v>46174</v>
      </c>
      <c r="E89" s="2" t="n">
        <v>46122</v>
      </c>
      <c r="F89" s="2" t="n">
        <v>46152</v>
      </c>
      <c r="G89" t="inlineStr">
        <is>
          <t>JULIO HUERTA MILLA</t>
        </is>
      </c>
      <c r="H89" t="inlineStr">
        <is>
          <t>C</t>
        </is>
      </c>
      <c r="I89" t="inlineStr">
        <is>
          <t>25</t>
        </is>
      </c>
      <c r="J89" t="n">
        <v>38</v>
      </c>
      <c r="K89" t="n">
        <v>53</v>
      </c>
      <c r="L89">
        <f>K89-J89</f>
        <v/>
      </c>
      <c r="M89" t="n">
        <v>15</v>
      </c>
      <c r="N89">
        <f>IF(L89&lt;&gt;M89,1,0)</f>
        <v/>
      </c>
      <c r="O89" t="n">
        <v>15</v>
      </c>
      <c r="R89" t="n">
        <v>25</v>
      </c>
      <c r="S89" t="n">
        <v>3</v>
      </c>
      <c r="T89" s="3">
        <f>SUM(O89:S89)</f>
        <v/>
      </c>
      <c r="U89" s="3">
        <f>IF(P89&lt;8,"USTED ESTÁ AL DÍA","USTED NO ESTÁ AL DÍA")</f>
        <v/>
      </c>
      <c r="V89" s="3" t="inlineStr">
        <is>
          <t>PAGO PRESENCIAL:  05/06 de 4-6 pm (LOCAL DEL PUEBLO), PAGO YAPE: 948 227 636</t>
        </is>
      </c>
      <c r="Y89">
        <f>T89+W89+X89</f>
        <v/>
      </c>
    </row>
    <row r="90" hidden="1" ht="15.75" customHeight="1" s="4">
      <c r="A90" s="3" t="n">
        <v>16984</v>
      </c>
      <c r="B90" s="3" t="inlineStr">
        <is>
          <t>11/04/2026 al 10/05/2026</t>
        </is>
      </c>
      <c r="C90" s="2" t="n">
        <v>46179</v>
      </c>
      <c r="D90" s="2" t="n">
        <v>46174</v>
      </c>
      <c r="E90" s="2" t="n">
        <v>46122</v>
      </c>
      <c r="F90" s="2" t="n">
        <v>46152</v>
      </c>
      <c r="G90" t="inlineStr">
        <is>
          <t>CORCINO RODRIGUEZ RIVERA</t>
        </is>
      </c>
      <c r="H90" t="inlineStr">
        <is>
          <t>C</t>
        </is>
      </c>
      <c r="I90" t="inlineStr">
        <is>
          <t>26</t>
        </is>
      </c>
      <c r="J90" t="n">
        <v>1511</v>
      </c>
      <c r="K90" t="n">
        <v>1514</v>
      </c>
      <c r="L90">
        <f>K90-J90</f>
        <v/>
      </c>
      <c r="M90" t="n">
        <v>5</v>
      </c>
      <c r="O90" t="n">
        <v>5</v>
      </c>
      <c r="P90" t="n">
        <v>0</v>
      </c>
      <c r="S90" t="n">
        <v>3</v>
      </c>
      <c r="T90" s="3">
        <f>SUM(O90:S90)</f>
        <v/>
      </c>
      <c r="U90" s="3">
        <f>IF(P90&lt;8,"USTED ESTÁ AL DÍA","USTED NO ESTÁ AL DÍA")</f>
        <v/>
      </c>
      <c r="V90" s="3" t="inlineStr">
        <is>
          <t>PAGO PRESENCIAL:  05/06 de 4-6 pm (LOCAL DEL PUEBLO), PAGO YAPE: 948 227 636</t>
        </is>
      </c>
      <c r="W90" t="n">
        <v>50</v>
      </c>
      <c r="Y90">
        <f>T90+W90+X90</f>
        <v/>
      </c>
    </row>
    <row r="91" hidden="1" ht="15.75" customHeight="1" s="4">
      <c r="A91" s="3" t="n">
        <v>16985</v>
      </c>
      <c r="B91" s="3" t="inlineStr">
        <is>
          <t>11/04/2026 al 10/05/2026</t>
        </is>
      </c>
      <c r="C91" s="2" t="n">
        <v>46179</v>
      </c>
      <c r="D91" s="2" t="n">
        <v>46174</v>
      </c>
      <c r="E91" s="2" t="n">
        <v>46122</v>
      </c>
      <c r="F91" s="2" t="n">
        <v>46152</v>
      </c>
      <c r="G91" t="inlineStr">
        <is>
          <t>NANCY VALERIANA FLORES LEON</t>
        </is>
      </c>
      <c r="H91" t="inlineStr">
        <is>
          <t>C</t>
        </is>
      </c>
      <c r="I91" t="inlineStr">
        <is>
          <t>27</t>
        </is>
      </c>
      <c r="J91" t="n">
        <v>275</v>
      </c>
      <c r="K91" t="n">
        <v>291</v>
      </c>
      <c r="L91">
        <f>K91-J91</f>
        <v/>
      </c>
      <c r="M91" t="n">
        <v>16</v>
      </c>
      <c r="N91">
        <f>IF(L91&lt;&gt;M91,1,0)</f>
        <v/>
      </c>
      <c r="O91" t="n">
        <v>16</v>
      </c>
      <c r="S91" t="n">
        <v>3</v>
      </c>
      <c r="T91" s="3">
        <f>SUM(O91:S91)</f>
        <v/>
      </c>
      <c r="U91" s="3">
        <f>IF(P91&lt;8,"USTED ESTÁ AL DÍA","USTED NO ESTÁ AL DÍA")</f>
        <v/>
      </c>
      <c r="V91" s="3" t="inlineStr">
        <is>
          <t>PAGO PRESENCIAL:  05/06 de 4-6 pm (LOCAL DEL PUEBLO), PAGO YAPE: 948 227 636</t>
        </is>
      </c>
      <c r="W91" t="n">
        <v>30</v>
      </c>
      <c r="Y91">
        <f>T91+W91+X91</f>
        <v/>
      </c>
    </row>
    <row r="92" hidden="1" ht="15.75" customHeight="1" s="4">
      <c r="A92" s="3" t="n">
        <v>16986</v>
      </c>
      <c r="B92" s="3" t="inlineStr">
        <is>
          <t>11/04/2026 al 10/05/2026</t>
        </is>
      </c>
      <c r="C92" s="2" t="n">
        <v>46179</v>
      </c>
      <c r="D92" s="2" t="n">
        <v>46174</v>
      </c>
      <c r="E92" s="2" t="n">
        <v>46122</v>
      </c>
      <c r="F92" s="2" t="n">
        <v>46152</v>
      </c>
      <c r="G92" t="inlineStr">
        <is>
          <t>OSTIN AGÜERO TRUJILLO</t>
        </is>
      </c>
      <c r="H92" t="inlineStr">
        <is>
          <t>C</t>
        </is>
      </c>
      <c r="I92" t="inlineStr">
        <is>
          <t>28</t>
        </is>
      </c>
      <c r="J92" t="n">
        <v>116</v>
      </c>
      <c r="K92" t="n">
        <v>140</v>
      </c>
      <c r="L92">
        <f>K92-J92</f>
        <v/>
      </c>
      <c r="M92" t="n">
        <v>24</v>
      </c>
      <c r="N92">
        <f>IF(L92&lt;&gt;M92,1,0)</f>
        <v/>
      </c>
      <c r="O92" t="n">
        <v>24</v>
      </c>
      <c r="S92" t="n">
        <v>3</v>
      </c>
      <c r="T92" s="3">
        <f>SUM(O92:S92)</f>
        <v/>
      </c>
      <c r="U92" s="3">
        <f>IF(P92&lt;8,"USTED ESTÁ AL DÍA","USTED NO ESTÁ AL DÍA")</f>
        <v/>
      </c>
      <c r="V92" s="3" t="inlineStr">
        <is>
          <t>PAGO PRESENCIAL:  05/06 de 4-6 pm (LOCAL DEL PUEBLO), PAGO YAPE: 948 227 636</t>
        </is>
      </c>
      <c r="W92" t="n">
        <v>30</v>
      </c>
      <c r="Y92">
        <f>T92+W92+X92</f>
        <v/>
      </c>
    </row>
    <row r="93" hidden="1" ht="15.75" customHeight="1" s="4">
      <c r="A93" s="3" t="n">
        <v>16987</v>
      </c>
      <c r="B93" s="3" t="inlineStr">
        <is>
          <t>11/04/2026 al 10/05/2026</t>
        </is>
      </c>
      <c r="C93" s="2" t="n">
        <v>46179</v>
      </c>
      <c r="D93" s="2" t="n">
        <v>46174</v>
      </c>
      <c r="E93" s="2" t="n">
        <v>46122</v>
      </c>
      <c r="F93" s="2" t="n">
        <v>46152</v>
      </c>
      <c r="G93" t="inlineStr">
        <is>
          <t>SONIA CERNA MELGAREJO</t>
        </is>
      </c>
      <c r="H93" t="inlineStr">
        <is>
          <t>C</t>
        </is>
      </c>
      <c r="I93" t="inlineStr">
        <is>
          <t>30</t>
        </is>
      </c>
      <c r="J93" t="n">
        <v>3613</v>
      </c>
      <c r="K93" t="n">
        <v>3635</v>
      </c>
      <c r="L93">
        <f>K93-J93</f>
        <v/>
      </c>
      <c r="M93" t="n">
        <v>22</v>
      </c>
      <c r="N93">
        <f>IF(L93&lt;&gt;M93,1,0)</f>
        <v/>
      </c>
      <c r="O93" t="n">
        <v>22</v>
      </c>
      <c r="S93" t="n">
        <v>3</v>
      </c>
      <c r="T93" s="3">
        <f>SUM(O93:S93)</f>
        <v/>
      </c>
      <c r="U93" s="3">
        <f>IF(P93&lt;8,"USTED ESTÁ AL DÍA","USTED NO ESTÁ AL DÍA")</f>
        <v/>
      </c>
      <c r="V93" s="3" t="inlineStr">
        <is>
          <t>PAGO PRESENCIAL:  05/06 de 4-6 pm (LOCAL DEL PUEBLO), PAGO YAPE: 948 227 636</t>
        </is>
      </c>
      <c r="W93" t="n">
        <v>30</v>
      </c>
      <c r="X93" t="n">
        <v>50</v>
      </c>
      <c r="Y93">
        <f>T93+W93+X93</f>
        <v/>
      </c>
    </row>
    <row r="94" hidden="1" ht="15.75" customHeight="1" s="4">
      <c r="A94" s="3" t="n">
        <v>16988</v>
      </c>
      <c r="B94" s="3" t="inlineStr">
        <is>
          <t>11/04/2026 al 10/05/2026</t>
        </is>
      </c>
      <c r="C94" s="2" t="n">
        <v>46179</v>
      </c>
      <c r="D94" s="2" t="n">
        <v>46174</v>
      </c>
      <c r="E94" s="2" t="n">
        <v>46122</v>
      </c>
      <c r="F94" s="2" t="n">
        <v>46152</v>
      </c>
      <c r="G94" t="inlineStr">
        <is>
          <t>IGLESIA ADVENTISTA DEL SEPTIMO DIA</t>
        </is>
      </c>
      <c r="H94" t="inlineStr">
        <is>
          <t>C</t>
        </is>
      </c>
      <c r="I94" t="inlineStr">
        <is>
          <t>3A</t>
        </is>
      </c>
      <c r="J94" t="n">
        <v>710</v>
      </c>
      <c r="K94" t="n">
        <v>718</v>
      </c>
      <c r="L94">
        <f>K94-J94</f>
        <v/>
      </c>
      <c r="M94" t="n">
        <v>8</v>
      </c>
      <c r="N94">
        <f>IF(L94&lt;&gt;M94,1,0)</f>
        <v/>
      </c>
      <c r="O94" t="n">
        <v>8</v>
      </c>
      <c r="S94" t="n">
        <v>3</v>
      </c>
      <c r="T94" s="3">
        <f>SUM(O94:S94)</f>
        <v/>
      </c>
      <c r="U94" s="3">
        <f>IF(P94&lt;8,"USTED ESTÁ AL DÍA","USTED NO ESTÁ AL DÍA")</f>
        <v/>
      </c>
      <c r="V94" s="3" t="inlineStr">
        <is>
          <t>PAGO PRESENCIAL:  05/06 de 4-6 pm (LOCAL DEL PUEBLO), PAGO YAPE: 948 227 636</t>
        </is>
      </c>
      <c r="Y94">
        <f>T94+W94+X94</f>
        <v/>
      </c>
    </row>
    <row r="95" hidden="1" ht="15.75" customHeight="1" s="4">
      <c r="A95" s="3" t="n">
        <v>16989</v>
      </c>
      <c r="B95" s="3" t="inlineStr">
        <is>
          <t>11/04/2026 al 10/05/2026</t>
        </is>
      </c>
      <c r="C95" s="2" t="n">
        <v>46179</v>
      </c>
      <c r="D95" s="2" t="n">
        <v>46174</v>
      </c>
      <c r="E95" s="2" t="n">
        <v>46122</v>
      </c>
      <c r="F95" s="2" t="n">
        <v>46152</v>
      </c>
      <c r="G95" t="inlineStr">
        <is>
          <t>FAUSTA HUERTA AGAMA</t>
        </is>
      </c>
      <c r="H95" t="inlineStr">
        <is>
          <t>C</t>
        </is>
      </c>
      <c r="I95" t="inlineStr">
        <is>
          <t>32</t>
        </is>
      </c>
      <c r="J95" t="n">
        <v>8</v>
      </c>
      <c r="K95" t="n">
        <v>14</v>
      </c>
      <c r="L95">
        <f>K95-J95</f>
        <v/>
      </c>
      <c r="M95" t="n">
        <v>6</v>
      </c>
      <c r="N95">
        <f>IF(L95&lt;&gt;M95,1,0)</f>
        <v/>
      </c>
      <c r="O95" t="n">
        <v>6</v>
      </c>
      <c r="R95" t="n">
        <v>25</v>
      </c>
      <c r="S95" t="n">
        <v>3</v>
      </c>
      <c r="T95" s="3">
        <f>SUM(O95:S95)</f>
        <v/>
      </c>
      <c r="U95" s="3">
        <f>IF(P95&lt;8,"USTED ESTÁ AL DÍA","USTED NO ESTÁ AL DÍA")</f>
        <v/>
      </c>
      <c r="V95" s="3" t="inlineStr">
        <is>
          <t>PAGO PRESENCIAL:  05/06 de 4-6 pm (LOCAL DEL PUEBLO), PAGO YAPE: 948 227 636</t>
        </is>
      </c>
      <c r="W95" t="n">
        <v>30</v>
      </c>
      <c r="Y95">
        <f>T95+W95+X95</f>
        <v/>
      </c>
    </row>
    <row r="96" hidden="1" ht="15.75" customHeight="1" s="4">
      <c r="A96" s="3" t="n">
        <v>16990</v>
      </c>
      <c r="B96" s="3" t="inlineStr">
        <is>
          <t>11/04/2026 al 10/05/2026</t>
        </is>
      </c>
      <c r="C96" s="2" t="n">
        <v>46179</v>
      </c>
      <c r="D96" s="2" t="n">
        <v>46174</v>
      </c>
      <c r="E96" s="2" t="n">
        <v>46122</v>
      </c>
      <c r="F96" s="2" t="n">
        <v>46152</v>
      </c>
      <c r="G96" t="inlineStr">
        <is>
          <t>EDITA ROMERO MAYO</t>
        </is>
      </c>
      <c r="H96" t="inlineStr">
        <is>
          <t>C</t>
        </is>
      </c>
      <c r="I96" t="inlineStr">
        <is>
          <t>33</t>
        </is>
      </c>
      <c r="J96" t="n">
        <v>363</v>
      </c>
      <c r="K96" t="n">
        <v>377</v>
      </c>
      <c r="L96">
        <f>K96-J96</f>
        <v/>
      </c>
      <c r="M96" t="n">
        <v>14</v>
      </c>
      <c r="N96">
        <f>IF(L96&lt;&gt;M96,1,0)</f>
        <v/>
      </c>
      <c r="O96" t="n">
        <v>14</v>
      </c>
      <c r="S96" t="n">
        <v>3</v>
      </c>
      <c r="T96" s="3">
        <f>SUM(O96:S96)</f>
        <v/>
      </c>
      <c r="U96" s="3">
        <f>IF(P96&lt;8,"USTED ESTÁ AL DÍA","USTED NO ESTÁ AL DÍA")</f>
        <v/>
      </c>
      <c r="V96" s="3" t="inlineStr">
        <is>
          <t>PAGO PRESENCIAL:  05/06 de 4-6 pm (LOCAL DEL PUEBLO), PAGO YAPE: 948 227 636</t>
        </is>
      </c>
      <c r="W96" t="n">
        <v>30</v>
      </c>
      <c r="X96" t="n">
        <v>50</v>
      </c>
      <c r="Y96">
        <f>T96+W96+X96</f>
        <v/>
      </c>
    </row>
    <row r="97" hidden="1" ht="15.75" customHeight="1" s="4">
      <c r="A97" s="3" t="n">
        <v>16991</v>
      </c>
      <c r="B97" s="3" t="inlineStr">
        <is>
          <t>11/04/2026 al 10/05/2026</t>
        </is>
      </c>
      <c r="C97" s="2" t="n">
        <v>46179</v>
      </c>
      <c r="D97" s="2" t="n">
        <v>46174</v>
      </c>
      <c r="E97" s="2" t="n">
        <v>46122</v>
      </c>
      <c r="F97" s="2" t="n">
        <v>46152</v>
      </c>
      <c r="G97" t="inlineStr">
        <is>
          <t>EBER AGÜERO TRUJILLO</t>
        </is>
      </c>
      <c r="H97" t="inlineStr">
        <is>
          <t>C</t>
        </is>
      </c>
      <c r="I97" t="inlineStr">
        <is>
          <t>34</t>
        </is>
      </c>
      <c r="J97" t="n">
        <v>28</v>
      </c>
      <c r="K97" t="n">
        <v>32</v>
      </c>
      <c r="L97">
        <f>K97-J97</f>
        <v/>
      </c>
      <c r="M97" t="n">
        <v>5</v>
      </c>
      <c r="O97" t="n">
        <v>5</v>
      </c>
      <c r="S97" t="n">
        <v>3</v>
      </c>
      <c r="T97" s="3">
        <f>SUM(O97:S97)</f>
        <v/>
      </c>
      <c r="U97" s="3">
        <f>IF(P97&lt;8,"USTED ESTÁ AL DÍA","USTED NO ESTÁ AL DÍA")</f>
        <v/>
      </c>
      <c r="V97" s="3" t="inlineStr">
        <is>
          <t>PAGO PRESENCIAL:  05/06 de 4-6 pm (LOCAL DEL PUEBLO), PAGO YAPE: 948 227 636</t>
        </is>
      </c>
      <c r="W97" t="n">
        <v>0</v>
      </c>
      <c r="Y97">
        <f>T97+W97+X97</f>
        <v/>
      </c>
    </row>
    <row r="98" hidden="1" ht="15.75" customHeight="1" s="4">
      <c r="A98" s="3" t="n">
        <v>16992</v>
      </c>
      <c r="B98" s="3" t="inlineStr">
        <is>
          <t>11/04/2026 al 10/05/2026</t>
        </is>
      </c>
      <c r="C98" s="2" t="n">
        <v>46179</v>
      </c>
      <c r="D98" s="2" t="n">
        <v>46174</v>
      </c>
      <c r="E98" s="2" t="n">
        <v>46122</v>
      </c>
      <c r="F98" s="2" t="n">
        <v>46152</v>
      </c>
      <c r="G98" t="inlineStr">
        <is>
          <t>MARIA NORABUENA ESPADA</t>
        </is>
      </c>
      <c r="H98" t="inlineStr">
        <is>
          <t>C</t>
        </is>
      </c>
      <c r="I98" t="inlineStr">
        <is>
          <t>36</t>
        </is>
      </c>
      <c r="J98" t="n">
        <v>22</v>
      </c>
      <c r="K98" t="n">
        <v>28</v>
      </c>
      <c r="L98">
        <f>K98-J98</f>
        <v/>
      </c>
      <c r="M98" t="n">
        <v>6</v>
      </c>
      <c r="N98">
        <f>IF(L98&lt;&gt;M98,1,0)</f>
        <v/>
      </c>
      <c r="O98" t="n">
        <v>6</v>
      </c>
      <c r="S98" t="n">
        <v>3</v>
      </c>
      <c r="T98" s="3">
        <f>SUM(O98:S98)</f>
        <v/>
      </c>
      <c r="U98" s="3">
        <f>IF(P98&lt;8,"USTED ESTÁ AL DÍA","USTED NO ESTÁ AL DÍA")</f>
        <v/>
      </c>
      <c r="V98" s="3" t="inlineStr">
        <is>
          <t>PAGO PRESENCIAL:  05/06 de 4-6 pm (LOCAL DEL PUEBLO), PAGO YAPE: 948 227 636</t>
        </is>
      </c>
      <c r="W98" t="n">
        <v>50</v>
      </c>
      <c r="X98" t="n">
        <v>75</v>
      </c>
      <c r="Y98">
        <f>T98+W98+X98</f>
        <v/>
      </c>
    </row>
    <row r="99" hidden="1" ht="15.75" customHeight="1" s="4">
      <c r="A99" s="3" t="n">
        <v>16993</v>
      </c>
      <c r="B99" s="3" t="inlineStr">
        <is>
          <t>11/04/2026 al 10/05/2026</t>
        </is>
      </c>
      <c r="C99" s="2" t="n">
        <v>46179</v>
      </c>
      <c r="D99" s="2" t="n">
        <v>46174</v>
      </c>
      <c r="E99" s="2" t="n">
        <v>46122</v>
      </c>
      <c r="F99" s="2" t="n">
        <v>46152</v>
      </c>
      <c r="G99" t="inlineStr">
        <is>
          <t>RAQUEL SORIA BUSTAMANTE</t>
        </is>
      </c>
      <c r="H99" t="inlineStr">
        <is>
          <t>C</t>
        </is>
      </c>
      <c r="I99" t="inlineStr">
        <is>
          <t>37</t>
        </is>
      </c>
      <c r="J99" t="n">
        <v>304</v>
      </c>
      <c r="K99" t="n">
        <v>310</v>
      </c>
      <c r="L99">
        <f>K99-J99</f>
        <v/>
      </c>
      <c r="M99" t="n">
        <v>6</v>
      </c>
      <c r="N99">
        <f>IF(L99&lt;&gt;M99,1,0)</f>
        <v/>
      </c>
      <c r="O99" t="n">
        <v>6</v>
      </c>
      <c r="S99" t="n">
        <v>3</v>
      </c>
      <c r="T99" s="3">
        <f>SUM(O99:S99)</f>
        <v/>
      </c>
      <c r="U99" s="3">
        <f>IF(P99&lt;8,"USTED ESTÁ AL DÍA","USTED NO ESTÁ AL DÍA")</f>
        <v/>
      </c>
      <c r="V99" s="3" t="inlineStr">
        <is>
          <t>PAGO PRESENCIAL:  05/06 de 4-6 pm (LOCAL DEL PUEBLO), PAGO YAPE: 948 227 636</t>
        </is>
      </c>
      <c r="X99" t="n">
        <v>50</v>
      </c>
      <c r="Y99">
        <f>T99+W99+X99</f>
        <v/>
      </c>
    </row>
    <row r="100" hidden="1" ht="15.75" customHeight="1" s="4">
      <c r="A100" s="3" t="n">
        <v>16994</v>
      </c>
      <c r="B100" s="3" t="inlineStr">
        <is>
          <t>11/04/2026 al 10/05/2026</t>
        </is>
      </c>
      <c r="C100" s="2" t="n">
        <v>46179</v>
      </c>
      <c r="D100" s="2" t="n">
        <v>46174</v>
      </c>
      <c r="E100" s="2" t="n">
        <v>46122</v>
      </c>
      <c r="F100" s="2" t="n">
        <v>46152</v>
      </c>
      <c r="G100" t="inlineStr">
        <is>
          <t>JANET ROMERO MAYO</t>
        </is>
      </c>
      <c r="H100" t="inlineStr">
        <is>
          <t>C</t>
        </is>
      </c>
      <c r="I100" t="inlineStr">
        <is>
          <t>39</t>
        </is>
      </c>
      <c r="J100" t="n">
        <v>341</v>
      </c>
      <c r="K100" t="n">
        <v>351</v>
      </c>
      <c r="L100">
        <f>K100-J100</f>
        <v/>
      </c>
      <c r="M100" t="n">
        <v>10</v>
      </c>
      <c r="N100">
        <f>IF(L100&lt;&gt;M100,1,0)</f>
        <v/>
      </c>
      <c r="O100" t="n">
        <v>10</v>
      </c>
      <c r="S100" t="n">
        <v>3</v>
      </c>
      <c r="T100" s="3">
        <f>SUM(O100:S100)</f>
        <v/>
      </c>
      <c r="U100" s="3">
        <f>IF(P100&lt;8,"USTED ESTÁ AL DÍA","USTED NO ESTÁ AL DÍA")</f>
        <v/>
      </c>
      <c r="V100" s="3" t="inlineStr">
        <is>
          <t>PAGO PRESENCIAL:  05/06 de 4-6 pm (LOCAL DEL PUEBLO), PAGO YAPE: 948 227 636</t>
        </is>
      </c>
      <c r="W100" t="n">
        <v>50</v>
      </c>
      <c r="X100" t="n">
        <v>50</v>
      </c>
      <c r="Y100">
        <f>T100+W100+X100</f>
        <v/>
      </c>
    </row>
    <row r="101" hidden="1" ht="15.75" customHeight="1" s="4">
      <c r="A101" s="3" t="n">
        <v>16995</v>
      </c>
      <c r="B101" s="3" t="inlineStr">
        <is>
          <t>11/04/2026 al 10/05/2026</t>
        </is>
      </c>
      <c r="C101" s="2" t="n">
        <v>46179</v>
      </c>
      <c r="D101" s="2" t="n">
        <v>46174</v>
      </c>
      <c r="E101" s="2" t="n">
        <v>46122</v>
      </c>
      <c r="F101" s="2" t="n">
        <v>46152</v>
      </c>
      <c r="G101" t="inlineStr">
        <is>
          <t>SONIA GLORIA MORENO CASTILLEJO</t>
        </is>
      </c>
      <c r="H101" t="inlineStr">
        <is>
          <t>C</t>
        </is>
      </c>
      <c r="I101" t="inlineStr">
        <is>
          <t>9A</t>
        </is>
      </c>
      <c r="J101" t="n">
        <v>530</v>
      </c>
      <c r="K101" t="n">
        <v>539</v>
      </c>
      <c r="L101">
        <f>K101-J101</f>
        <v/>
      </c>
      <c r="M101" t="n">
        <v>9</v>
      </c>
      <c r="N101">
        <f>IF(L101&lt;&gt;M101,1,0)</f>
        <v/>
      </c>
      <c r="O101" t="n">
        <v>9</v>
      </c>
      <c r="S101" t="n">
        <v>3</v>
      </c>
      <c r="T101" s="3">
        <f>SUM(O101:S101)</f>
        <v/>
      </c>
      <c r="U101" s="3">
        <f>IF(P101&lt;8,"USTED ESTÁ AL DÍA","USTED NO ESTÁ AL DÍA")</f>
        <v/>
      </c>
      <c r="V101" s="3" t="inlineStr">
        <is>
          <t>PAGO PRESENCIAL:  05/06 de 4-6 pm (LOCAL DEL PUEBLO), PAGO YAPE: 948 227 636</t>
        </is>
      </c>
      <c r="Y101">
        <f>T101+W101+X101</f>
        <v/>
      </c>
    </row>
    <row r="102" hidden="1" ht="15.75" customHeight="1" s="4">
      <c r="A102" s="3" t="n">
        <v>16996</v>
      </c>
      <c r="B102" s="3" t="inlineStr">
        <is>
          <t>11/04/2026 al 10/05/2026</t>
        </is>
      </c>
      <c r="C102" s="2" t="n">
        <v>46179</v>
      </c>
      <c r="D102" s="2" t="n">
        <v>46174</v>
      </c>
      <c r="E102" s="2" t="n">
        <v>46122</v>
      </c>
      <c r="F102" s="2" t="n">
        <v>46152</v>
      </c>
      <c r="G102" t="inlineStr">
        <is>
          <t>EDWIN AGÜERO TRUJILLO</t>
        </is>
      </c>
      <c r="H102" t="inlineStr">
        <is>
          <t>C</t>
        </is>
      </c>
      <c r="I102" t="inlineStr">
        <is>
          <t>3</t>
        </is>
      </c>
      <c r="L102">
        <f>K102-J102</f>
        <v/>
      </c>
      <c r="S102" t="n">
        <v>0</v>
      </c>
      <c r="T102" s="3">
        <f>SUM(O102:S102)</f>
        <v/>
      </c>
      <c r="U102" s="3">
        <f>IF(P102&lt;8,"USTED ESTÁ AL DÍA","USTED NO ESTÁ AL DÍA")</f>
        <v/>
      </c>
      <c r="V102" s="3" t="inlineStr">
        <is>
          <t>PAGO PRESENCIAL:  05/06 de 4-6 pm (LOCAL DEL PUEBLO), PAGO YAPE: 948 227 636</t>
        </is>
      </c>
      <c r="W102" t="n">
        <v>50</v>
      </c>
      <c r="X102" t="n">
        <v>50</v>
      </c>
      <c r="Y102">
        <f>T102+W102+X102</f>
        <v/>
      </c>
    </row>
    <row r="103" hidden="1" ht="15.75" customHeight="1" s="4">
      <c r="A103" s="3" t="n">
        <v>16997</v>
      </c>
      <c r="B103" s="3" t="inlineStr">
        <is>
          <t>11/04/2026 al 10/05/2026</t>
        </is>
      </c>
      <c r="C103" s="2" t="n">
        <v>46179</v>
      </c>
      <c r="D103" s="2" t="n">
        <v>46174</v>
      </c>
      <c r="E103" s="2" t="n">
        <v>46122</v>
      </c>
      <c r="F103" s="2" t="n">
        <v>46152</v>
      </c>
      <c r="G103" t="inlineStr">
        <is>
          <t>SILVESTRA CATALINA CHAVEZ ESPINOZA</t>
        </is>
      </c>
      <c r="H103" t="inlineStr">
        <is>
          <t>C</t>
        </is>
      </c>
      <c r="I103" t="inlineStr">
        <is>
          <t>10</t>
        </is>
      </c>
      <c r="L103">
        <f>K103-J103</f>
        <v/>
      </c>
      <c r="S103" t="n">
        <v>0</v>
      </c>
      <c r="T103" s="3">
        <f>SUM(O103:S103)</f>
        <v/>
      </c>
      <c r="U103" s="3">
        <f>IF(P103&lt;8,"USTED ESTÁ AL DÍA","USTED NO ESTÁ AL DÍA")</f>
        <v/>
      </c>
      <c r="V103" s="3" t="inlineStr">
        <is>
          <t>PAGO PRESENCIAL:  05/06 de 4-6 pm (LOCAL DEL PUEBLO), PAGO YAPE: 948 227 636</t>
        </is>
      </c>
      <c r="W103" t="n">
        <v>50</v>
      </c>
      <c r="X103" t="n">
        <v>75</v>
      </c>
      <c r="Y103">
        <f>T103+W103+X103</f>
        <v/>
      </c>
    </row>
    <row r="104" hidden="1" ht="15.75" customHeight="1" s="4">
      <c r="A104" s="3" t="n">
        <v>16998</v>
      </c>
      <c r="B104" s="3" t="inlineStr">
        <is>
          <t>11/04/2026 al 10/05/2026</t>
        </is>
      </c>
      <c r="C104" s="2" t="n">
        <v>46179</v>
      </c>
      <c r="D104" s="2" t="n">
        <v>46174</v>
      </c>
      <c r="E104" s="2" t="n">
        <v>46122</v>
      </c>
      <c r="F104" s="2" t="n">
        <v>46152</v>
      </c>
      <c r="G104" t="inlineStr">
        <is>
          <t>PRONOEI Y JASS</t>
        </is>
      </c>
      <c r="H104" t="inlineStr">
        <is>
          <t>C</t>
        </is>
      </c>
      <c r="I104" t="inlineStr">
        <is>
          <t>17</t>
        </is>
      </c>
      <c r="L104">
        <f>K104-J104</f>
        <v/>
      </c>
      <c r="S104" t="n">
        <v>0</v>
      </c>
      <c r="T104" s="3">
        <f>SUM(O104:S104)</f>
        <v/>
      </c>
      <c r="U104" s="3">
        <f>IF(P104&lt;8,"USTED ESTÁ AL DÍA","USTED NO ESTÁ AL DÍA")</f>
        <v/>
      </c>
      <c r="V104" s="3" t="inlineStr">
        <is>
          <t>PAGO PRESENCIAL:  05/06 de 4-6 pm (LOCAL DEL PUEBLO), PAGO YAPE: 948 227 636</t>
        </is>
      </c>
      <c r="W104" t="n">
        <v>50</v>
      </c>
      <c r="Y104">
        <f>T104+W104+X104</f>
        <v/>
      </c>
    </row>
    <row r="105" hidden="1" ht="15.75" customHeight="1" s="4">
      <c r="A105" s="3" t="n">
        <v>16999</v>
      </c>
      <c r="B105" s="3" t="inlineStr">
        <is>
          <t>11/04/2026 al 10/05/2026</t>
        </is>
      </c>
      <c r="C105" s="2" t="n">
        <v>46179</v>
      </c>
      <c r="D105" s="2" t="n">
        <v>46174</v>
      </c>
      <c r="E105" s="2" t="n">
        <v>46122</v>
      </c>
      <c r="F105" s="2" t="n">
        <v>46152</v>
      </c>
      <c r="G105" t="inlineStr">
        <is>
          <t>RUBEN REYES VILLAFUANA</t>
        </is>
      </c>
      <c r="H105" t="inlineStr">
        <is>
          <t>C</t>
        </is>
      </c>
      <c r="I105" t="inlineStr">
        <is>
          <t>27A</t>
        </is>
      </c>
      <c r="L105">
        <f>K105-J105</f>
        <v/>
      </c>
      <c r="S105" t="n">
        <v>0</v>
      </c>
      <c r="T105" s="3">
        <f>SUM(O105:S105)</f>
        <v/>
      </c>
      <c r="U105" s="3">
        <f>IF(P105&lt;8,"USTED ESTÁ AL DÍA","USTED NO ESTÁ AL DÍA")</f>
        <v/>
      </c>
      <c r="V105" s="3" t="inlineStr">
        <is>
          <t>PAGO PRESENCIAL:  05/06 de 4-6 pm (LOCAL DEL PUEBLO), PAGO YAPE: 948 227 636</t>
        </is>
      </c>
      <c r="W105" t="n">
        <v>50</v>
      </c>
      <c r="Y105">
        <f>T105+W105+X105</f>
        <v/>
      </c>
    </row>
    <row r="106" hidden="1" ht="15.75" customHeight="1" s="4">
      <c r="A106" s="3" t="n">
        <v>17000</v>
      </c>
      <c r="B106" s="3" t="inlineStr">
        <is>
          <t>11/04/2026 al 10/05/2026</t>
        </is>
      </c>
      <c r="C106" s="2" t="n">
        <v>46179</v>
      </c>
      <c r="D106" s="2" t="n">
        <v>46174</v>
      </c>
      <c r="E106" s="2" t="n">
        <v>46122</v>
      </c>
      <c r="F106" s="2" t="n">
        <v>46152</v>
      </c>
      <c r="G106" t="inlineStr">
        <is>
          <t>CARMEN PEREZ MONTES</t>
        </is>
      </c>
      <c r="H106" t="inlineStr">
        <is>
          <t>C</t>
        </is>
      </c>
      <c r="I106" t="inlineStr">
        <is>
          <t>29</t>
        </is>
      </c>
      <c r="L106">
        <f>K106-J106</f>
        <v/>
      </c>
      <c r="S106" t="n">
        <v>0</v>
      </c>
      <c r="T106" s="3">
        <f>SUM(O106:S106)</f>
        <v/>
      </c>
      <c r="U106" s="3">
        <f>IF(P106&lt;8,"USTED ESTÁ AL DÍA","USTED NO ESTÁ AL DÍA")</f>
        <v/>
      </c>
      <c r="V106" s="3" t="inlineStr">
        <is>
          <t>PAGO PRESENCIAL:  05/06 de 4-6 pm (LOCAL DEL PUEBLO), PAGO YAPE: 948 227 636</t>
        </is>
      </c>
      <c r="W106" t="n">
        <v>50</v>
      </c>
      <c r="X106" t="n">
        <v>25</v>
      </c>
      <c r="Y106">
        <f>T106+W106+X106</f>
        <v/>
      </c>
    </row>
    <row r="107" hidden="1" ht="15.75" customHeight="1" s="4">
      <c r="A107" s="3" t="n">
        <v>17001</v>
      </c>
      <c r="B107" s="3" t="inlineStr">
        <is>
          <t>11/04/2026 al 10/05/2026</t>
        </is>
      </c>
      <c r="C107" s="2" t="n">
        <v>46179</v>
      </c>
      <c r="D107" s="2" t="n">
        <v>46174</v>
      </c>
      <c r="E107" s="2" t="n">
        <v>46122</v>
      </c>
      <c r="F107" s="2" t="n">
        <v>46152</v>
      </c>
      <c r="G107" t="inlineStr">
        <is>
          <t>EDDY SANTIAGO GARCILAZO TRUJILLO</t>
        </is>
      </c>
      <c r="H107" t="inlineStr">
        <is>
          <t>C</t>
        </is>
      </c>
      <c r="I107" t="inlineStr">
        <is>
          <t>29A</t>
        </is>
      </c>
      <c r="L107">
        <f>K107-J107</f>
        <v/>
      </c>
      <c r="S107" t="n">
        <v>0</v>
      </c>
      <c r="T107" s="3">
        <f>SUM(O107:S107)</f>
        <v/>
      </c>
      <c r="U107" s="3">
        <f>IF(P107&lt;8,"USTED ESTÁ AL DÍA","USTED NO ESTÁ AL DÍA")</f>
        <v/>
      </c>
      <c r="V107" s="3" t="inlineStr">
        <is>
          <t>PAGO PRESENCIAL:  05/06 de 4-6 pm (LOCAL DEL PUEBLO), PAGO YAPE: 948 227 636</t>
        </is>
      </c>
      <c r="W107" t="n">
        <v>20</v>
      </c>
      <c r="Y107">
        <f>T107+W107+X107</f>
        <v/>
      </c>
    </row>
    <row r="108" hidden="1" ht="15.75" customHeight="1" s="4">
      <c r="A108" s="3" t="n">
        <v>17002</v>
      </c>
      <c r="B108" s="3" t="inlineStr">
        <is>
          <t>11/04/2026 al 10/05/2026</t>
        </is>
      </c>
      <c r="C108" s="2" t="n">
        <v>46179</v>
      </c>
      <c r="D108" s="2" t="n">
        <v>46174</v>
      </c>
      <c r="E108" s="2" t="n">
        <v>46122</v>
      </c>
      <c r="F108" s="2" t="n">
        <v>46152</v>
      </c>
      <c r="G108" t="inlineStr">
        <is>
          <t>MARILUZ MELGAREJO BEDON</t>
        </is>
      </c>
      <c r="H108" t="inlineStr">
        <is>
          <t>C</t>
        </is>
      </c>
      <c r="I108" t="inlineStr">
        <is>
          <t>38</t>
        </is>
      </c>
      <c r="L108">
        <f>K108-J108</f>
        <v/>
      </c>
      <c r="S108" t="n">
        <v>0</v>
      </c>
      <c r="T108" s="3">
        <f>SUM(O108:S108)</f>
        <v/>
      </c>
      <c r="U108" s="3">
        <f>IF(P108&lt;8,"USTED ESTÁ AL DÍA","USTED NO ESTÁ AL DÍA")</f>
        <v/>
      </c>
      <c r="V108" s="3" t="inlineStr">
        <is>
          <t>PAGO PRESENCIAL:  05/06 de 4-6 pm (LOCAL DEL PUEBLO), PAGO YAPE: 948 227 636</t>
        </is>
      </c>
      <c r="W108" t="n">
        <v>50</v>
      </c>
      <c r="Y108">
        <f>T108+W108+X108</f>
        <v/>
      </c>
    </row>
    <row r="109" hidden="1" ht="15.75" customHeight="1" s="4">
      <c r="A109" s="3" t="n">
        <v>17003</v>
      </c>
      <c r="B109" s="3" t="inlineStr">
        <is>
          <t>11/04/2026 al 10/05/2026</t>
        </is>
      </c>
      <c r="C109" s="2" t="n">
        <v>46179</v>
      </c>
      <c r="D109" s="2" t="n">
        <v>46174</v>
      </c>
      <c r="E109" s="2" t="n">
        <v>46122</v>
      </c>
      <c r="F109" s="2" t="n">
        <v>46152</v>
      </c>
      <c r="G109" t="inlineStr">
        <is>
          <t>LUIS MELGAREJO MELENDEZ</t>
        </is>
      </c>
      <c r="H109" t="inlineStr">
        <is>
          <t>C</t>
        </is>
      </c>
      <c r="I109" t="inlineStr">
        <is>
          <t>44</t>
        </is>
      </c>
      <c r="L109">
        <f>K109-J109</f>
        <v/>
      </c>
      <c r="S109" t="n">
        <v>0</v>
      </c>
      <c r="T109" s="3">
        <f>SUM(O109:S109)</f>
        <v/>
      </c>
      <c r="U109" s="3">
        <f>IF(P109&lt;8,"USTED ESTÁ AL DÍA","USTED NO ESTÁ AL DÍA")</f>
        <v/>
      </c>
      <c r="V109" s="3" t="inlineStr">
        <is>
          <t>PAGO PRESENCIAL:  05/06 de 4-6 pm (LOCAL DEL PUEBLO), PAGO YAPE: 948 227 636</t>
        </is>
      </c>
      <c r="W109" t="n">
        <v>30</v>
      </c>
      <c r="Y109">
        <f>T109+W109+X109</f>
        <v/>
      </c>
    </row>
    <row r="110" ht="15.75" customHeight="1" s="4">
      <c r="A110" s="3" t="n">
        <v>17004</v>
      </c>
      <c r="B110" s="3" t="inlineStr">
        <is>
          <t>11/04/2026 al 10/05/2026</t>
        </is>
      </c>
      <c r="C110" s="2" t="n">
        <v>46179</v>
      </c>
      <c r="D110" s="2" t="n">
        <v>46174</v>
      </c>
      <c r="E110" s="2" t="n">
        <v>46122</v>
      </c>
      <c r="F110" s="2" t="n">
        <v>46152</v>
      </c>
      <c r="G110" t="inlineStr">
        <is>
          <t>BIANA JOSEFINA LOZANO MINAYA</t>
        </is>
      </c>
      <c r="H110" t="inlineStr">
        <is>
          <t>C1</t>
        </is>
      </c>
      <c r="I110" t="inlineStr">
        <is>
          <t>1</t>
        </is>
      </c>
      <c r="J110" t="n">
        <v>1944</v>
      </c>
      <c r="K110" t="n">
        <v>1954</v>
      </c>
      <c r="L110">
        <f>K110-J110</f>
        <v/>
      </c>
      <c r="M110" t="n">
        <v>10</v>
      </c>
      <c r="N110">
        <f>IF(L110&lt;&gt;M110,1,0)</f>
        <v/>
      </c>
      <c r="O110" t="n">
        <v>10</v>
      </c>
      <c r="S110" t="n">
        <v>3</v>
      </c>
      <c r="T110" s="3">
        <f>SUM(O110:S110)</f>
        <v/>
      </c>
      <c r="U110" s="3">
        <f>IF(P110&lt;8,"USTED ESTÁ AL DÍA","USTED NO ESTÁ AL DÍA")</f>
        <v/>
      </c>
      <c r="V110" s="3" t="inlineStr">
        <is>
          <t>PAGO PRESENCIAL:  05/06 de 4-6 pm (LOCAL DEL PUEBLO), PAGO YAPE: 948 227 636</t>
        </is>
      </c>
      <c r="W110" t="n">
        <v>50</v>
      </c>
      <c r="X110" t="n">
        <v>50</v>
      </c>
      <c r="Y110">
        <f>T110+W110+X110</f>
        <v/>
      </c>
    </row>
    <row r="111" ht="15.75" customHeight="1" s="4">
      <c r="A111" s="3" t="n">
        <v>17005</v>
      </c>
      <c r="B111" s="3" t="inlineStr">
        <is>
          <t>11/04/2026 al 10/05/2026</t>
        </is>
      </c>
      <c r="C111" s="2" t="n">
        <v>46179</v>
      </c>
      <c r="D111" s="2" t="n">
        <v>46174</v>
      </c>
      <c r="E111" s="2" t="n">
        <v>46122</v>
      </c>
      <c r="F111" s="2" t="n">
        <v>46152</v>
      </c>
      <c r="G111" t="inlineStr">
        <is>
          <t>DELFINA POMALLANQUI GOMEZ</t>
        </is>
      </c>
      <c r="H111" t="inlineStr">
        <is>
          <t>C1</t>
        </is>
      </c>
      <c r="I111" t="inlineStr">
        <is>
          <t>3</t>
        </is>
      </c>
      <c r="J111" t="n">
        <v>417</v>
      </c>
      <c r="K111" t="n">
        <v>423</v>
      </c>
      <c r="L111">
        <f>K111-J111</f>
        <v/>
      </c>
      <c r="M111" t="n">
        <v>6</v>
      </c>
      <c r="N111">
        <f>IF(L111&lt;&gt;M111,1,0)</f>
        <v/>
      </c>
      <c r="O111" t="n">
        <v>6</v>
      </c>
      <c r="S111" t="n">
        <v>3</v>
      </c>
      <c r="T111" s="3">
        <f>SUM(O111:S111)</f>
        <v/>
      </c>
      <c r="U111" s="3">
        <f>IF(P111&lt;8,"USTED ESTÁ AL DÍA","USTED NO ESTÁ AL DÍA")</f>
        <v/>
      </c>
      <c r="V111" s="3" t="inlineStr">
        <is>
          <t>PAGO PRESENCIAL:  05/06 de 4-6 pm (LOCAL DEL PUEBLO), PAGO YAPE: 948 227 636</t>
        </is>
      </c>
      <c r="W111" t="n">
        <v>20</v>
      </c>
      <c r="X111" t="n">
        <v>75</v>
      </c>
      <c r="Y111">
        <f>T111+W111+X111</f>
        <v/>
      </c>
    </row>
    <row r="112" ht="15.75" customHeight="1" s="4">
      <c r="A112" s="3" t="n">
        <v>17006</v>
      </c>
      <c r="B112" s="3" t="inlineStr">
        <is>
          <t>11/04/2026 al 10/05/2026</t>
        </is>
      </c>
      <c r="C112" s="2" t="n">
        <v>46179</v>
      </c>
      <c r="D112" s="2" t="n">
        <v>46174</v>
      </c>
      <c r="E112" s="2" t="n">
        <v>46122</v>
      </c>
      <c r="F112" s="2" t="n">
        <v>46152</v>
      </c>
      <c r="G112" t="inlineStr">
        <is>
          <t>JUDIT PIMENTEL ESTRADA</t>
        </is>
      </c>
      <c r="H112" t="inlineStr">
        <is>
          <t>C1</t>
        </is>
      </c>
      <c r="I112" t="inlineStr">
        <is>
          <t>4</t>
        </is>
      </c>
      <c r="J112" t="n">
        <v>576</v>
      </c>
      <c r="K112" t="n">
        <v>577</v>
      </c>
      <c r="L112">
        <f>K112-J112</f>
        <v/>
      </c>
      <c r="M112" t="n">
        <v>5</v>
      </c>
      <c r="O112" t="n">
        <v>5</v>
      </c>
      <c r="S112" t="n">
        <v>3</v>
      </c>
      <c r="T112" s="3">
        <f>SUM(O112:S112)</f>
        <v/>
      </c>
      <c r="U112" s="3">
        <f>IF(P112&lt;8,"USTED ESTÁ AL DÍA","USTED NO ESTÁ AL DÍA")</f>
        <v/>
      </c>
      <c r="V112" s="3" t="inlineStr">
        <is>
          <t>PAGO PRESENCIAL:  05/06 de 4-6 pm (LOCAL DEL PUEBLO), PAGO YAPE: 948 227 636</t>
        </is>
      </c>
      <c r="Y112">
        <f>T112+W112+X112</f>
        <v/>
      </c>
    </row>
    <row r="113" ht="15.75" customHeight="1" s="4">
      <c r="A113" s="3" t="n">
        <v>17007</v>
      </c>
      <c r="B113" s="3" t="inlineStr">
        <is>
          <t>11/04/2026 al 10/05/2026</t>
        </is>
      </c>
      <c r="C113" s="2" t="n">
        <v>46179</v>
      </c>
      <c r="D113" s="2" t="n">
        <v>46174</v>
      </c>
      <c r="E113" s="2" t="n">
        <v>46122</v>
      </c>
      <c r="F113" s="2" t="n">
        <v>46152</v>
      </c>
      <c r="G113" t="inlineStr">
        <is>
          <t>EUGENIA ESCUDERO SOLANO</t>
        </is>
      </c>
      <c r="H113" t="inlineStr">
        <is>
          <t>C1</t>
        </is>
      </c>
      <c r="I113" t="inlineStr">
        <is>
          <t>5</t>
        </is>
      </c>
      <c r="J113" t="n">
        <v>98</v>
      </c>
      <c r="K113" t="n">
        <v>103</v>
      </c>
      <c r="L113">
        <f>K113-J113</f>
        <v/>
      </c>
      <c r="M113" t="n">
        <v>5</v>
      </c>
      <c r="O113" t="n">
        <v>5</v>
      </c>
      <c r="S113" t="n">
        <v>3</v>
      </c>
      <c r="T113" s="3">
        <f>SUM(O113:S113)</f>
        <v/>
      </c>
      <c r="U113" s="3">
        <f>IF(P113&lt;8,"USTED ESTÁ AL DÍA","USTED NO ESTÁ AL DÍA")</f>
        <v/>
      </c>
      <c r="V113" s="3" t="inlineStr">
        <is>
          <t>PAGO PRESENCIAL:  05/06 de 4-6 pm (LOCAL DEL PUEBLO), PAGO YAPE: 948 227 636</t>
        </is>
      </c>
      <c r="W113" t="n">
        <v>20</v>
      </c>
      <c r="Y113">
        <f>T113+W113+X113</f>
        <v/>
      </c>
    </row>
    <row r="114" ht="15.75" customHeight="1" s="4">
      <c r="A114" s="3" t="n">
        <v>17008</v>
      </c>
      <c r="B114" s="3" t="inlineStr">
        <is>
          <t>11/04/2026 al 10/05/2026</t>
        </is>
      </c>
      <c r="C114" s="2" t="n">
        <v>46179</v>
      </c>
      <c r="D114" s="2" t="n">
        <v>46174</v>
      </c>
      <c r="E114" s="2" t="n">
        <v>46122</v>
      </c>
      <c r="F114" s="2" t="n">
        <v>46152</v>
      </c>
      <c r="G114" t="inlineStr">
        <is>
          <t>DELIA VENTURO MORALES</t>
        </is>
      </c>
      <c r="H114" t="inlineStr">
        <is>
          <t>C1</t>
        </is>
      </c>
      <c r="I114" t="inlineStr">
        <is>
          <t>6</t>
        </is>
      </c>
      <c r="J114" t="n">
        <v>925</v>
      </c>
      <c r="K114" t="n">
        <v>930</v>
      </c>
      <c r="L114">
        <f>K114-J114</f>
        <v/>
      </c>
      <c r="M114" t="n">
        <v>5</v>
      </c>
      <c r="O114" t="n">
        <v>5</v>
      </c>
      <c r="S114" t="n">
        <v>3</v>
      </c>
      <c r="T114" s="3">
        <f>SUM(O114:S114)</f>
        <v/>
      </c>
      <c r="U114" s="3">
        <f>IF(P114&lt;8,"USTED ESTÁ AL DÍA","USTED NO ESTÁ AL DÍA")</f>
        <v/>
      </c>
      <c r="V114" s="3" t="inlineStr">
        <is>
          <t>PAGO PRESENCIAL:  05/06 de 4-6 pm (LOCAL DEL PUEBLO), PAGO YAPE: 948 227 636</t>
        </is>
      </c>
      <c r="X114" t="n">
        <v>75</v>
      </c>
      <c r="Y114">
        <f>T114+W114+X114</f>
        <v/>
      </c>
    </row>
    <row r="115" ht="15.75" customHeight="1" s="4">
      <c r="A115" s="3" t="n">
        <v>17009</v>
      </c>
      <c r="B115" s="3" t="inlineStr">
        <is>
          <t>11/04/2026 al 10/05/2026</t>
        </is>
      </c>
      <c r="C115" s="2" t="n">
        <v>46179</v>
      </c>
      <c r="D115" s="2" t="n">
        <v>46174</v>
      </c>
      <c r="E115" s="2" t="n">
        <v>46122</v>
      </c>
      <c r="F115" s="2" t="n">
        <v>46152</v>
      </c>
      <c r="G115" t="inlineStr">
        <is>
          <t>JENNY LINO ILLAJANQUI</t>
        </is>
      </c>
      <c r="H115" t="inlineStr">
        <is>
          <t>C1</t>
        </is>
      </c>
      <c r="I115" t="inlineStr">
        <is>
          <t>7</t>
        </is>
      </c>
      <c r="J115" t="n">
        <v>306</v>
      </c>
      <c r="K115" t="n">
        <v>322</v>
      </c>
      <c r="L115">
        <f>K115-J115</f>
        <v/>
      </c>
      <c r="M115" t="n">
        <v>16</v>
      </c>
      <c r="N115">
        <f>IF(L115&lt;&gt;M115,1,0)</f>
        <v/>
      </c>
      <c r="O115" t="n">
        <v>16</v>
      </c>
      <c r="S115" t="n">
        <v>3</v>
      </c>
      <c r="T115" s="3">
        <f>SUM(O115:S115)</f>
        <v/>
      </c>
      <c r="U115" s="3">
        <f>IF(P115&lt;8,"USTED ESTÁ AL DÍA","USTED NO ESTÁ AL DÍA")</f>
        <v/>
      </c>
      <c r="V115" s="3" t="inlineStr">
        <is>
          <t>PAGO PRESENCIAL:  05/06 de 4-6 pm (LOCAL DEL PUEBLO), PAGO YAPE: 948 227 636</t>
        </is>
      </c>
      <c r="X115" t="n">
        <v>75</v>
      </c>
      <c r="Y115">
        <f>T115+W115+X115</f>
        <v/>
      </c>
    </row>
    <row r="116" ht="15.75" customHeight="1" s="4">
      <c r="A116" s="3" t="n">
        <v>17010</v>
      </c>
      <c r="B116" s="3" t="inlineStr">
        <is>
          <t>11/04/2026 al 10/05/2026</t>
        </is>
      </c>
      <c r="C116" s="2" t="n">
        <v>46179</v>
      </c>
      <c r="D116" s="2" t="n">
        <v>46174</v>
      </c>
      <c r="E116" s="2" t="n">
        <v>46122</v>
      </c>
      <c r="F116" s="2" t="n">
        <v>46152</v>
      </c>
      <c r="G116" t="inlineStr">
        <is>
          <t>SANTA ROSALINA HUERTA NEPONOCENO</t>
        </is>
      </c>
      <c r="H116" t="inlineStr">
        <is>
          <t>C1</t>
        </is>
      </c>
      <c r="I116" t="inlineStr">
        <is>
          <t>8</t>
        </is>
      </c>
      <c r="J116" t="n">
        <v>510</v>
      </c>
      <c r="K116" t="n">
        <v>520</v>
      </c>
      <c r="L116">
        <f>K116-J116</f>
        <v/>
      </c>
      <c r="M116" t="n">
        <v>10</v>
      </c>
      <c r="N116">
        <f>IF(L116&lt;&gt;M116,1,0)</f>
        <v/>
      </c>
      <c r="O116" t="n">
        <v>10</v>
      </c>
      <c r="S116" t="n">
        <v>3</v>
      </c>
      <c r="T116" s="3">
        <f>SUM(O116:S116)</f>
        <v/>
      </c>
      <c r="U116" s="3">
        <f>IF(P116&lt;8,"USTED ESTÁ AL DÍA","USTED NO ESTÁ AL DÍA")</f>
        <v/>
      </c>
      <c r="V116" s="3" t="inlineStr">
        <is>
          <t>PAGO PRESENCIAL:  05/06 de 4-6 pm (LOCAL DEL PUEBLO), PAGO YAPE: 948 227 636</t>
        </is>
      </c>
      <c r="X116" t="n">
        <v>50</v>
      </c>
      <c r="Y116">
        <f>T116+W116+X116</f>
        <v/>
      </c>
    </row>
    <row r="117" ht="15.75" customHeight="1" s="4">
      <c r="A117" s="3" t="n">
        <v>17011</v>
      </c>
      <c r="B117" s="3" t="inlineStr">
        <is>
          <t>11/04/2026 al 10/05/2026</t>
        </is>
      </c>
      <c r="C117" s="2" t="n">
        <v>46179</v>
      </c>
      <c r="D117" s="2" t="n">
        <v>46174</v>
      </c>
      <c r="E117" s="2" t="n">
        <v>46122</v>
      </c>
      <c r="F117" s="2" t="n">
        <v>46152</v>
      </c>
      <c r="G117" t="inlineStr">
        <is>
          <t>ANDREZ NIETO CASTAÑEDA</t>
        </is>
      </c>
      <c r="H117" t="inlineStr">
        <is>
          <t>C1</t>
        </is>
      </c>
      <c r="I117" t="inlineStr">
        <is>
          <t>13</t>
        </is>
      </c>
      <c r="J117" t="n">
        <v>591</v>
      </c>
      <c r="K117" t="n">
        <v>600</v>
      </c>
      <c r="L117">
        <f>K117-J117</f>
        <v/>
      </c>
      <c r="M117" t="n">
        <v>9</v>
      </c>
      <c r="N117">
        <f>IF(L117&lt;&gt;M117,1,0)</f>
        <v/>
      </c>
      <c r="O117" t="n">
        <v>9</v>
      </c>
      <c r="S117" t="n">
        <v>3</v>
      </c>
      <c r="T117" s="3">
        <f>SUM(O117:S117)</f>
        <v/>
      </c>
      <c r="U117" s="3">
        <f>IF(P117&lt;8,"USTED ESTÁ AL DÍA","USTED NO ESTÁ AL DÍA")</f>
        <v/>
      </c>
      <c r="V117" s="3" t="inlineStr">
        <is>
          <t>PAGO PRESENCIAL:  05/06 de 4-6 pm (LOCAL DEL PUEBLO), PAGO YAPE: 948 227 636</t>
        </is>
      </c>
      <c r="Y117">
        <f>T117+W117+X117</f>
        <v/>
      </c>
    </row>
    <row r="118" ht="15.75" customHeight="1" s="4">
      <c r="A118" s="3" t="n">
        <v>17012</v>
      </c>
      <c r="B118" s="3" t="inlineStr">
        <is>
          <t>11/04/2026 al 10/05/2026</t>
        </is>
      </c>
      <c r="C118" s="2" t="n">
        <v>46179</v>
      </c>
      <c r="D118" s="2" t="n">
        <v>46174</v>
      </c>
      <c r="E118" s="2" t="n">
        <v>46122</v>
      </c>
      <c r="F118" s="2" t="n">
        <v>46152</v>
      </c>
      <c r="G118" t="inlineStr">
        <is>
          <t>EVER CERVANTES CHAVES</t>
        </is>
      </c>
      <c r="H118" t="inlineStr">
        <is>
          <t>C1</t>
        </is>
      </c>
      <c r="I118" t="inlineStr">
        <is>
          <t>15</t>
        </is>
      </c>
      <c r="J118" t="n">
        <v>131</v>
      </c>
      <c r="K118" t="n">
        <v>133</v>
      </c>
      <c r="L118">
        <f>K118-J118</f>
        <v/>
      </c>
      <c r="M118" t="n">
        <v>5</v>
      </c>
      <c r="O118" t="n">
        <v>5</v>
      </c>
      <c r="S118" t="n">
        <v>3</v>
      </c>
      <c r="T118" s="3">
        <f>SUM(O118:S118)</f>
        <v/>
      </c>
      <c r="U118" s="3">
        <f>IF(P118&lt;8,"USTED ESTÁ AL DÍA","USTED NO ESTÁ AL DÍA")</f>
        <v/>
      </c>
      <c r="V118" s="3" t="inlineStr">
        <is>
          <t>PAGO PRESENCIAL:  05/06 de 4-6 pm (LOCAL DEL PUEBLO), PAGO YAPE: 948 227 636</t>
        </is>
      </c>
      <c r="W118" t="n">
        <v>50</v>
      </c>
      <c r="Y118">
        <f>T118+W118+X118</f>
        <v/>
      </c>
    </row>
    <row r="119" ht="17" customHeight="1" s="4">
      <c r="A119" s="3" t="n">
        <v>17013</v>
      </c>
      <c r="B119" s="3" t="inlineStr">
        <is>
          <t>11/04/2026 al 10/05/2026</t>
        </is>
      </c>
      <c r="C119" s="2" t="n">
        <v>46179</v>
      </c>
      <c r="D119" s="2" t="n">
        <v>46174</v>
      </c>
      <c r="E119" s="2" t="n">
        <v>46122</v>
      </c>
      <c r="F119" s="2" t="n">
        <v>46152</v>
      </c>
      <c r="G119" t="inlineStr">
        <is>
          <t>AUBERTINA TRUJILLO TOLENTINO</t>
        </is>
      </c>
      <c r="H119" t="inlineStr">
        <is>
          <t>C1</t>
        </is>
      </c>
      <c r="I119" t="inlineStr">
        <is>
          <t>2</t>
        </is>
      </c>
      <c r="J119" t="n">
        <v>1</v>
      </c>
      <c r="K119" t="n">
        <v>1</v>
      </c>
      <c r="L119">
        <f>K119-J119</f>
        <v/>
      </c>
      <c r="M119" t="n">
        <v>5</v>
      </c>
      <c r="O119" t="n">
        <v>5</v>
      </c>
      <c r="P119" t="n">
        <v>8</v>
      </c>
      <c r="S119" t="n">
        <v>3</v>
      </c>
      <c r="T119" s="3">
        <f>SUM(O119:S119)</f>
        <v/>
      </c>
      <c r="U119" s="3">
        <f>IF(P119&lt;8,"USTED ESTÁ AL DÍA","USTED NO ESTÁ AL DÍA")</f>
        <v/>
      </c>
      <c r="V119" s="3" t="inlineStr">
        <is>
          <t>PAGO PRESENCIAL:  05/06 de 4-6 pm (LOCAL DEL PUEBLO), PAGO YAPE: 948 227 636</t>
        </is>
      </c>
      <c r="W119" t="n">
        <v>50</v>
      </c>
      <c r="X119" t="n">
        <v>75</v>
      </c>
      <c r="Y119">
        <f>T119+W119+X119</f>
        <v/>
      </c>
    </row>
    <row r="120" ht="13.5" customHeight="1" s="4">
      <c r="A120" s="3" t="n">
        <v>17014</v>
      </c>
      <c r="B120" s="3" t="inlineStr">
        <is>
          <t>11/04/2026 al 10/05/2026</t>
        </is>
      </c>
      <c r="C120" s="2" t="n">
        <v>46179</v>
      </c>
      <c r="D120" s="2" t="n">
        <v>46174</v>
      </c>
      <c r="E120" s="2" t="n">
        <v>46122</v>
      </c>
      <c r="F120" s="2" t="n">
        <v>46152</v>
      </c>
      <c r="G120" t="inlineStr">
        <is>
          <t>MARI CELIDONIO CHAVEZ</t>
        </is>
      </c>
      <c r="H120" t="inlineStr">
        <is>
          <t>C1</t>
        </is>
      </c>
      <c r="I120" t="inlineStr">
        <is>
          <t>14</t>
        </is>
      </c>
      <c r="J120" t="n">
        <v>684</v>
      </c>
      <c r="K120" t="n">
        <v>686</v>
      </c>
      <c r="L120">
        <f>K120-J120</f>
        <v/>
      </c>
      <c r="M120" t="n">
        <v>5</v>
      </c>
      <c r="O120" t="n">
        <v>5</v>
      </c>
      <c r="P120" t="n">
        <v>8</v>
      </c>
      <c r="S120" t="n">
        <v>3</v>
      </c>
      <c r="T120" s="3">
        <f>SUM(O120:S120)</f>
        <v/>
      </c>
      <c r="U120" s="3">
        <f>IF(P120&lt;8,"USTED ESTÁ AL DÍA","USTED NO ESTÁ AL DÍA")</f>
        <v/>
      </c>
      <c r="V120" s="3" t="inlineStr">
        <is>
          <t>PAGO PRESENCIAL:  05/06 de 4-6 pm (LOCAL DEL PUEBLO), PAGO YAPE: 948 227 636</t>
        </is>
      </c>
      <c r="W120" t="n">
        <v>20</v>
      </c>
      <c r="Y120">
        <f>T120+W120+X120</f>
        <v/>
      </c>
    </row>
    <row r="121" ht="16" customHeight="1" s="4">
      <c r="A121" s="3" t="n">
        <v>17015</v>
      </c>
      <c r="B121" s="3" t="inlineStr">
        <is>
          <t>11/04/2026 al 10/05/2026</t>
        </is>
      </c>
      <c r="C121" s="2" t="n">
        <v>46179</v>
      </c>
      <c r="D121" s="2" t="n">
        <v>46174</v>
      </c>
      <c r="E121" s="2" t="n">
        <v>46122</v>
      </c>
      <c r="F121" s="2" t="n">
        <v>46152</v>
      </c>
      <c r="G121" t="inlineStr">
        <is>
          <t>ROBERTO MACARLOPU FLORES</t>
        </is>
      </c>
      <c r="H121" t="inlineStr">
        <is>
          <t>C1</t>
        </is>
      </c>
      <c r="I121" t="inlineStr">
        <is>
          <t>17</t>
        </is>
      </c>
      <c r="J121" t="n">
        <v>411</v>
      </c>
      <c r="K121" t="n">
        <v>418</v>
      </c>
      <c r="L121">
        <f>K121-J121</f>
        <v/>
      </c>
      <c r="M121" t="n">
        <v>7</v>
      </c>
      <c r="N121">
        <f>IF(L121&lt;&gt;M121,1,0)</f>
        <v/>
      </c>
      <c r="O121" t="n">
        <v>7</v>
      </c>
      <c r="P121" t="n">
        <v>8.5</v>
      </c>
      <c r="S121" t="n">
        <v>3</v>
      </c>
      <c r="T121" s="3">
        <f>SUM(O121:S121)</f>
        <v/>
      </c>
      <c r="U121" s="3">
        <f>IF(P121&lt;8,"USTED ESTÁ AL DÍA","USTED NO ESTÁ AL DÍA")</f>
        <v/>
      </c>
      <c r="V121" s="3" t="inlineStr">
        <is>
          <t>PAGO PRESENCIAL:  05/06 de 4-6 pm (LOCAL DEL PUEBLO), PAGO YAPE: 948 227 636</t>
        </is>
      </c>
      <c r="W121" t="n">
        <v>30</v>
      </c>
      <c r="Y121">
        <f>T121+W121+X121</f>
        <v/>
      </c>
    </row>
    <row r="122" ht="15.75" customHeight="1" s="4">
      <c r="A122" s="3" t="n">
        <v>17016</v>
      </c>
      <c r="B122" s="3" t="inlineStr">
        <is>
          <t>11/04/2026 al 10/05/2026</t>
        </is>
      </c>
      <c r="C122" s="2" t="n">
        <v>46179</v>
      </c>
      <c r="D122" s="2" t="n">
        <v>46174</v>
      </c>
      <c r="E122" s="2" t="n">
        <v>46122</v>
      </c>
      <c r="F122" s="2" t="n">
        <v>46152</v>
      </c>
      <c r="G122" t="inlineStr">
        <is>
          <t>ROBERTO MACARLOPU FLORES</t>
        </is>
      </c>
      <c r="H122" t="inlineStr">
        <is>
          <t>C1</t>
        </is>
      </c>
      <c r="I122" t="inlineStr">
        <is>
          <t>9</t>
        </is>
      </c>
      <c r="L122">
        <f>K122-J122</f>
        <v/>
      </c>
      <c r="S122" t="n">
        <v>0</v>
      </c>
      <c r="T122" s="3">
        <f>SUM(O122:S122)</f>
        <v/>
      </c>
      <c r="U122" s="3">
        <f>IF(P122&lt;8,"USTED ESTÁ AL DÍA","USTED NO ESTÁ AL DÍA")</f>
        <v/>
      </c>
      <c r="V122" s="3" t="inlineStr">
        <is>
          <t>PAGO PRESENCIAL:  05/06 de 4-6 pm (LOCAL DEL PUEBLO), PAGO YAPE: 948 227 636</t>
        </is>
      </c>
      <c r="W122" t="n">
        <v>0</v>
      </c>
      <c r="Y122">
        <f>T122+W122+X122</f>
        <v/>
      </c>
    </row>
    <row r="123" hidden="1" ht="15.75" customHeight="1" s="4">
      <c r="A123" s="3" t="n">
        <v>17017</v>
      </c>
      <c r="B123" s="3" t="inlineStr">
        <is>
          <t>11/04/2026 al 10/05/2026</t>
        </is>
      </c>
      <c r="C123" s="2" t="n">
        <v>46179</v>
      </c>
      <c r="D123" s="2" t="n">
        <v>46174</v>
      </c>
      <c r="E123" s="2" t="n">
        <v>46122</v>
      </c>
      <c r="F123" s="2" t="n">
        <v>46152</v>
      </c>
      <c r="G123" t="inlineStr">
        <is>
          <t>SANTA ANTONIA SAENZ TICLIO</t>
        </is>
      </c>
      <c r="H123" t="inlineStr">
        <is>
          <t>D</t>
        </is>
      </c>
      <c r="I123" t="inlineStr">
        <is>
          <t>8</t>
        </is>
      </c>
      <c r="J123" t="n">
        <v>29</v>
      </c>
      <c r="K123" t="n">
        <v>41</v>
      </c>
      <c r="L123">
        <f>K123-J123</f>
        <v/>
      </c>
      <c r="M123" t="n">
        <v>12</v>
      </c>
      <c r="N123">
        <f>IF(L123&lt;&gt;M123,1,0)</f>
        <v/>
      </c>
      <c r="O123" t="n">
        <v>12</v>
      </c>
      <c r="P123" t="n">
        <v>15</v>
      </c>
      <c r="R123" t="n">
        <v>25</v>
      </c>
      <c r="S123" t="n">
        <v>3</v>
      </c>
      <c r="T123" s="3">
        <f>SUM(O123:S123)</f>
        <v/>
      </c>
      <c r="U123" s="3">
        <f>IF(P123&lt;8,"USTED ESTÁ AL DÍA","USTED NO ESTÁ AL DÍA")</f>
        <v/>
      </c>
      <c r="V123" s="3" t="inlineStr">
        <is>
          <t>PAGO PRESENCIAL:  05/06 de 4-6 pm (LOCAL DEL PUEBLO), PAGO YAPE: 948 227 636</t>
        </is>
      </c>
      <c r="W123" t="n">
        <v>70</v>
      </c>
      <c r="X123" t="n">
        <v>50</v>
      </c>
      <c r="Y123">
        <f>T123+W123+X123</f>
        <v/>
      </c>
    </row>
    <row r="124" hidden="1" ht="15.75" customHeight="1" s="4">
      <c r="A124" s="3" t="n">
        <v>17018</v>
      </c>
      <c r="B124" s="3" t="inlineStr">
        <is>
          <t>11/04/2026 al 10/05/2026</t>
        </is>
      </c>
      <c r="C124" s="2" t="n">
        <v>46179</v>
      </c>
      <c r="D124" s="2" t="n">
        <v>46174</v>
      </c>
      <c r="E124" s="2" t="n">
        <v>46122</v>
      </c>
      <c r="F124" s="2" t="n">
        <v>46152</v>
      </c>
      <c r="G124" t="inlineStr">
        <is>
          <t>JUAN VENTURO CAPCHA</t>
        </is>
      </c>
      <c r="H124" t="inlineStr">
        <is>
          <t>D</t>
        </is>
      </c>
      <c r="I124" t="inlineStr">
        <is>
          <t>1</t>
        </is>
      </c>
      <c r="J124" t="n">
        <v>23</v>
      </c>
      <c r="K124" t="n">
        <v>30</v>
      </c>
      <c r="L124">
        <f>K124-J124</f>
        <v/>
      </c>
      <c r="M124" t="n">
        <v>7</v>
      </c>
      <c r="N124">
        <f>IF(L124&lt;&gt;M124,1,0)</f>
        <v/>
      </c>
      <c r="O124" t="n">
        <v>7</v>
      </c>
      <c r="R124" t="n">
        <v>25</v>
      </c>
      <c r="S124" t="n">
        <v>3</v>
      </c>
      <c r="T124" s="3">
        <f>SUM(O124:S124)</f>
        <v/>
      </c>
      <c r="U124" s="3">
        <f>IF(P124&lt;8,"USTED ESTÁ AL DÍA","USTED NO ESTÁ AL DÍA")</f>
        <v/>
      </c>
      <c r="V124" s="3" t="inlineStr">
        <is>
          <t>PAGO PRESENCIAL:  05/06 de 4-6 pm (LOCAL DEL PUEBLO), PAGO YAPE: 948 227 636</t>
        </is>
      </c>
      <c r="W124" t="n">
        <v>30</v>
      </c>
      <c r="X124" t="n">
        <v>50</v>
      </c>
      <c r="Y124">
        <f>T124+W124+X124</f>
        <v/>
      </c>
    </row>
    <row r="125" hidden="1" ht="15.75" customHeight="1" s="4">
      <c r="A125" s="3" t="n">
        <v>17019</v>
      </c>
      <c r="B125" s="3" t="inlineStr">
        <is>
          <t>11/04/2026 al 10/05/2026</t>
        </is>
      </c>
      <c r="C125" s="2" t="n">
        <v>46179</v>
      </c>
      <c r="D125" s="2" t="n">
        <v>46174</v>
      </c>
      <c r="E125" s="2" t="n">
        <v>46122</v>
      </c>
      <c r="F125" s="2" t="n">
        <v>46152</v>
      </c>
      <c r="G125" t="inlineStr">
        <is>
          <t>VICTOR TRUJILLO POLICARPIO</t>
        </is>
      </c>
      <c r="H125" t="inlineStr">
        <is>
          <t>D</t>
        </is>
      </c>
      <c r="I125" t="inlineStr">
        <is>
          <t>2</t>
        </is>
      </c>
      <c r="J125" t="n">
        <v>2315</v>
      </c>
      <c r="K125" t="n">
        <v>2332</v>
      </c>
      <c r="L125">
        <f>K125-J125</f>
        <v/>
      </c>
      <c r="M125" t="n">
        <v>17</v>
      </c>
      <c r="N125">
        <f>IF(L125&lt;&gt;M125,1,0)</f>
        <v/>
      </c>
      <c r="O125" t="n">
        <v>17</v>
      </c>
      <c r="S125" t="n">
        <v>3</v>
      </c>
      <c r="T125" s="3">
        <f>SUM(O125:S125)</f>
        <v/>
      </c>
      <c r="U125" s="3">
        <f>IF(P125&lt;8,"USTED ESTÁ AL DÍA","USTED NO ESTÁ AL DÍA")</f>
        <v/>
      </c>
      <c r="V125" s="3" t="inlineStr">
        <is>
          <t>PAGO PRESENCIAL:  05/06 de 4-6 pm (LOCAL DEL PUEBLO), PAGO YAPE: 948 227 636</t>
        </is>
      </c>
      <c r="W125" t="n">
        <v>50</v>
      </c>
      <c r="X125" t="n">
        <v>75</v>
      </c>
      <c r="Y125">
        <f>T125+W125+X125</f>
        <v/>
      </c>
    </row>
    <row r="126" hidden="1" ht="15.75" customHeight="1" s="4">
      <c r="A126" s="3" t="n">
        <v>17020</v>
      </c>
      <c r="B126" s="3" t="inlineStr">
        <is>
          <t>11/04/2026 al 10/05/2026</t>
        </is>
      </c>
      <c r="C126" s="2" t="n">
        <v>46179</v>
      </c>
      <c r="D126" s="2" t="n">
        <v>46174</v>
      </c>
      <c r="E126" s="2" t="n">
        <v>46122</v>
      </c>
      <c r="F126" s="2" t="n">
        <v>46152</v>
      </c>
      <c r="G126" t="inlineStr">
        <is>
          <t>ANTONIO CASTILLEJO CUEVA</t>
        </is>
      </c>
      <c r="H126" t="inlineStr">
        <is>
          <t>D</t>
        </is>
      </c>
      <c r="I126" t="inlineStr">
        <is>
          <t>3</t>
        </is>
      </c>
      <c r="J126" t="n">
        <v>28</v>
      </c>
      <c r="K126" t="n">
        <v>40</v>
      </c>
      <c r="L126">
        <f>K126-J126</f>
        <v/>
      </c>
      <c r="M126" t="n">
        <v>12</v>
      </c>
      <c r="N126">
        <f>IF(L126&lt;&gt;M126,1,0)</f>
        <v/>
      </c>
      <c r="O126" t="n">
        <v>12</v>
      </c>
      <c r="R126" t="n">
        <v>25</v>
      </c>
      <c r="S126" t="n">
        <v>3</v>
      </c>
      <c r="T126" s="3">
        <f>SUM(O126:S126)</f>
        <v/>
      </c>
      <c r="U126" s="3">
        <f>IF(P126&lt;8,"USTED ESTÁ AL DÍA","USTED NO ESTÁ AL DÍA")</f>
        <v/>
      </c>
      <c r="V126" s="3" t="inlineStr">
        <is>
          <t>PAGO PRESENCIAL:  05/06 de 4-6 pm (LOCAL DEL PUEBLO), PAGO YAPE: 948 227 636</t>
        </is>
      </c>
      <c r="W126" t="n">
        <v>30</v>
      </c>
      <c r="Y126">
        <f>T126+W126+X126</f>
        <v/>
      </c>
    </row>
    <row r="127" hidden="1" ht="15.75" customHeight="1" s="4">
      <c r="A127" s="3" t="n">
        <v>17021</v>
      </c>
      <c r="B127" s="3" t="inlineStr">
        <is>
          <t>11/04/2026 al 10/05/2026</t>
        </is>
      </c>
      <c r="C127" s="2" t="n">
        <v>46179</v>
      </c>
      <c r="D127" s="2" t="n">
        <v>46174</v>
      </c>
      <c r="E127" s="2" t="n">
        <v>46122</v>
      </c>
      <c r="F127" s="2" t="n">
        <v>46152</v>
      </c>
      <c r="G127" t="inlineStr">
        <is>
          <t>JULIO CESAR PRINCIPE LUNA</t>
        </is>
      </c>
      <c r="H127" t="inlineStr">
        <is>
          <t>D</t>
        </is>
      </c>
      <c r="I127" t="inlineStr">
        <is>
          <t>4</t>
        </is>
      </c>
      <c r="J127" t="n">
        <v>387</v>
      </c>
      <c r="K127" t="n">
        <v>406</v>
      </c>
      <c r="L127">
        <f>K127-J127</f>
        <v/>
      </c>
      <c r="M127" t="n">
        <v>19</v>
      </c>
      <c r="N127">
        <f>IF(L127&lt;&gt;M127,1,0)</f>
        <v/>
      </c>
      <c r="O127" t="n">
        <v>19</v>
      </c>
      <c r="S127" t="n">
        <v>3</v>
      </c>
      <c r="T127" s="3">
        <f>SUM(O127:S127)</f>
        <v/>
      </c>
      <c r="U127" s="3">
        <f>IF(P127&lt;8,"USTED ESTÁ AL DÍA","USTED NO ESTÁ AL DÍA")</f>
        <v/>
      </c>
      <c r="V127" s="3" t="inlineStr">
        <is>
          <t>PAGO PRESENCIAL:  05/06 de 4-6 pm (LOCAL DEL PUEBLO), PAGO YAPE: 948 227 636</t>
        </is>
      </c>
      <c r="W127" t="n">
        <v>50</v>
      </c>
      <c r="Y127">
        <f>T127+W127+X127</f>
        <v/>
      </c>
    </row>
    <row r="128" hidden="1" ht="15.75" customHeight="1" s="4">
      <c r="A128" s="3" t="n">
        <v>17022</v>
      </c>
      <c r="B128" s="3" t="inlineStr">
        <is>
          <t>11/04/2026 al 10/05/2026</t>
        </is>
      </c>
      <c r="C128" s="2" t="n">
        <v>46179</v>
      </c>
      <c r="D128" s="2" t="n">
        <v>46174</v>
      </c>
      <c r="E128" s="2" t="n">
        <v>46122</v>
      </c>
      <c r="F128" s="2" t="n">
        <v>46152</v>
      </c>
      <c r="G128" t="inlineStr">
        <is>
          <t>TERESA PAULA JARA DE FERNANDEZ</t>
        </is>
      </c>
      <c r="H128" t="inlineStr">
        <is>
          <t>D</t>
        </is>
      </c>
      <c r="I128" t="inlineStr">
        <is>
          <t>5</t>
        </is>
      </c>
      <c r="J128" t="n">
        <v>637</v>
      </c>
      <c r="K128" t="n">
        <v>659</v>
      </c>
      <c r="L128">
        <f>K128-J128</f>
        <v/>
      </c>
      <c r="M128" t="n">
        <v>22</v>
      </c>
      <c r="N128">
        <f>IF(L128&lt;&gt;M128,1,0)</f>
        <v/>
      </c>
      <c r="O128" t="n">
        <v>22</v>
      </c>
      <c r="S128" t="n">
        <v>3</v>
      </c>
      <c r="T128" s="3">
        <f>SUM(O128:S128)</f>
        <v/>
      </c>
      <c r="U128" s="3">
        <f>IF(P128&lt;8,"USTED ESTÁ AL DÍA","USTED NO ESTÁ AL DÍA")</f>
        <v/>
      </c>
      <c r="V128" s="3" t="inlineStr">
        <is>
          <t>PAGO PRESENCIAL:  05/06 de 4-6 pm (LOCAL DEL PUEBLO), PAGO YAPE: 948 227 636</t>
        </is>
      </c>
      <c r="W128" t="n">
        <v>30</v>
      </c>
      <c r="X128" t="n">
        <v>50</v>
      </c>
      <c r="Y128">
        <f>T128+W128+X128</f>
        <v/>
      </c>
    </row>
    <row r="129" hidden="1" ht="15.75" customHeight="1" s="4">
      <c r="A129" s="3" t="n">
        <v>17023</v>
      </c>
      <c r="B129" s="3" t="inlineStr">
        <is>
          <t>11/04/2026 al 10/05/2026</t>
        </is>
      </c>
      <c r="C129" s="2" t="n">
        <v>46179</v>
      </c>
      <c r="D129" s="2" t="n">
        <v>46174</v>
      </c>
      <c r="E129" s="2" t="n">
        <v>46122</v>
      </c>
      <c r="F129" s="2" t="n">
        <v>46152</v>
      </c>
      <c r="G129" t="inlineStr">
        <is>
          <t>HERMELINDA JARA TRUJILLO</t>
        </is>
      </c>
      <c r="H129" t="inlineStr">
        <is>
          <t>D</t>
        </is>
      </c>
      <c r="I129" t="inlineStr">
        <is>
          <t>6</t>
        </is>
      </c>
      <c r="J129" t="n">
        <v>179</v>
      </c>
      <c r="K129" t="n">
        <v>258</v>
      </c>
      <c r="L129">
        <f>K129-J129</f>
        <v/>
      </c>
      <c r="M129" t="n">
        <v>79</v>
      </c>
      <c r="N129">
        <f>IF(L129&lt;&gt;M129,1,0)</f>
        <v/>
      </c>
      <c r="O129" t="n">
        <v>79</v>
      </c>
      <c r="R129" t="n">
        <v>25</v>
      </c>
      <c r="S129" t="n">
        <v>3</v>
      </c>
      <c r="T129" s="3">
        <f>SUM(O129:S129)</f>
        <v/>
      </c>
      <c r="U129" s="3">
        <f>IF(P129&lt;8,"USTED ESTÁ AL DÍA","USTED NO ESTÁ AL DÍA")</f>
        <v/>
      </c>
      <c r="V129" s="3" t="inlineStr">
        <is>
          <t>PAGO PRESENCIAL:  05/06 de 4-6 pm (LOCAL DEL PUEBLO), PAGO YAPE: 948 227 636</t>
        </is>
      </c>
      <c r="X129" t="n">
        <v>50</v>
      </c>
      <c r="Y129">
        <f>T129+W129+X129</f>
        <v/>
      </c>
    </row>
    <row r="130" hidden="1" ht="15.75" customHeight="1" s="4">
      <c r="A130" s="3" t="n">
        <v>17024</v>
      </c>
      <c r="B130" s="3" t="inlineStr">
        <is>
          <t>11/04/2026 al 10/05/2026</t>
        </is>
      </c>
      <c r="C130" s="2" t="n">
        <v>46179</v>
      </c>
      <c r="D130" s="2" t="n">
        <v>46174</v>
      </c>
      <c r="E130" s="2" t="n">
        <v>46122</v>
      </c>
      <c r="F130" s="2" t="n">
        <v>46152</v>
      </c>
      <c r="G130" t="inlineStr">
        <is>
          <t>MAXIMILIANO JARA NIETO</t>
        </is>
      </c>
      <c r="H130" t="inlineStr">
        <is>
          <t>D</t>
        </is>
      </c>
      <c r="I130" t="inlineStr">
        <is>
          <t>7</t>
        </is>
      </c>
      <c r="J130" t="n">
        <v>5844</v>
      </c>
      <c r="K130" t="n">
        <v>5965</v>
      </c>
      <c r="L130">
        <f>K130-J130</f>
        <v/>
      </c>
      <c r="M130" t="n">
        <v>121</v>
      </c>
      <c r="N130">
        <f>IF(L130&lt;&gt;M130,1,0)</f>
        <v/>
      </c>
      <c r="O130" t="n">
        <v>121</v>
      </c>
      <c r="S130" t="n">
        <v>3</v>
      </c>
      <c r="T130" s="3">
        <f>SUM(O130:S130)</f>
        <v/>
      </c>
      <c r="U130" s="3">
        <f>IF(P130&lt;8,"USTED ESTÁ AL DÍA","USTED NO ESTÁ AL DÍA")</f>
        <v/>
      </c>
      <c r="V130" s="3" t="inlineStr">
        <is>
          <t>PAGO PRESENCIAL:  05/06 de 4-6 pm (LOCAL DEL PUEBLO), PAGO YAPE: 948 227 636</t>
        </is>
      </c>
      <c r="W130" t="n">
        <v>50</v>
      </c>
      <c r="Y130">
        <f>T130+W130+X130</f>
        <v/>
      </c>
    </row>
    <row r="131" hidden="1" ht="15.75" customHeight="1" s="4">
      <c r="A131" s="3" t="n">
        <v>17025</v>
      </c>
      <c r="B131" s="3" t="inlineStr">
        <is>
          <t>11/04/2026 al 10/05/2026</t>
        </is>
      </c>
      <c r="C131" s="2" t="n">
        <v>46179</v>
      </c>
      <c r="D131" s="2" t="n">
        <v>46174</v>
      </c>
      <c r="E131" s="2" t="n">
        <v>46122</v>
      </c>
      <c r="F131" s="2" t="n">
        <v>46152</v>
      </c>
      <c r="G131" t="inlineStr">
        <is>
          <t>RUFINA CABELLO TICLIO</t>
        </is>
      </c>
      <c r="H131" t="inlineStr">
        <is>
          <t>D</t>
        </is>
      </c>
      <c r="I131" t="inlineStr">
        <is>
          <t>9</t>
        </is>
      </c>
      <c r="J131" t="n">
        <v>4131</v>
      </c>
      <c r="K131" t="n">
        <v>4139</v>
      </c>
      <c r="L131">
        <f>K131-J131</f>
        <v/>
      </c>
      <c r="M131" t="n">
        <v>8</v>
      </c>
      <c r="N131">
        <f>IF(L131&lt;&gt;M131,1,0)</f>
        <v/>
      </c>
      <c r="O131" t="n">
        <v>8</v>
      </c>
      <c r="Q131" t="n">
        <v>19</v>
      </c>
      <c r="S131" t="n">
        <v>3</v>
      </c>
      <c r="T131" s="3">
        <f>SUM(O131:S131)</f>
        <v/>
      </c>
      <c r="U131" s="3">
        <f>IF(P131&lt;8,"USTED ESTÁ AL DÍA","USTED NO ESTÁ AL DÍA")</f>
        <v/>
      </c>
      <c r="V131" s="3" t="inlineStr">
        <is>
          <t>PAGO PRESENCIAL:  05/06 de 4-6 pm (LOCAL DEL PUEBLO), PAGO YAPE: 948 227 636</t>
        </is>
      </c>
      <c r="W131" t="n">
        <v>50</v>
      </c>
      <c r="Y131">
        <f>T131+W131+X131</f>
        <v/>
      </c>
    </row>
    <row r="132" hidden="1" ht="15.75" customHeight="1" s="4">
      <c r="A132" s="3" t="n">
        <v>17026</v>
      </c>
      <c r="B132" s="3" t="inlineStr">
        <is>
          <t>11/04/2026 al 10/05/2026</t>
        </is>
      </c>
      <c r="C132" s="2" t="n">
        <v>46179</v>
      </c>
      <c r="D132" s="2" t="n">
        <v>46174</v>
      </c>
      <c r="E132" s="2" t="n">
        <v>46122</v>
      </c>
      <c r="F132" s="2" t="n">
        <v>46152</v>
      </c>
      <c r="G132" t="inlineStr">
        <is>
          <t>LIDIA ASTERIA SALES BLAS</t>
        </is>
      </c>
      <c r="H132" t="inlineStr">
        <is>
          <t>D</t>
        </is>
      </c>
      <c r="I132" t="inlineStr">
        <is>
          <t>10</t>
        </is>
      </c>
      <c r="J132" t="n">
        <v>2912</v>
      </c>
      <c r="K132" t="n">
        <v>2921</v>
      </c>
      <c r="L132">
        <f>K132-J132</f>
        <v/>
      </c>
      <c r="M132" t="n">
        <v>9</v>
      </c>
      <c r="N132">
        <f>IF(L132&lt;&gt;M132,1,0)</f>
        <v/>
      </c>
      <c r="O132" t="n">
        <v>9</v>
      </c>
      <c r="S132" t="n">
        <v>3</v>
      </c>
      <c r="T132" s="3">
        <f>SUM(O132:S132)</f>
        <v/>
      </c>
      <c r="U132" s="3">
        <f>IF(P132&lt;8,"USTED ESTÁ AL DÍA","USTED NO ESTÁ AL DÍA")</f>
        <v/>
      </c>
      <c r="V132" s="3" t="inlineStr">
        <is>
          <t>PAGO PRESENCIAL:  05/06 de 4-6 pm (LOCAL DEL PUEBLO), PAGO YAPE: 948 227 636</t>
        </is>
      </c>
      <c r="Y132">
        <f>T132+W132+X132</f>
        <v/>
      </c>
    </row>
    <row r="133" hidden="1" ht="15.75" customHeight="1" s="4">
      <c r="A133" s="3" t="n">
        <v>17027</v>
      </c>
      <c r="B133" s="3" t="inlineStr">
        <is>
          <t>11/04/2026 al 10/05/2026</t>
        </is>
      </c>
      <c r="C133" s="2" t="n">
        <v>46179</v>
      </c>
      <c r="D133" s="2" t="n">
        <v>46174</v>
      </c>
      <c r="E133" s="2" t="n">
        <v>46122</v>
      </c>
      <c r="F133" s="2" t="n">
        <v>46152</v>
      </c>
      <c r="G133" t="inlineStr">
        <is>
          <t>SALOMON RODRIGUEZ GARCIA</t>
        </is>
      </c>
      <c r="H133" t="inlineStr">
        <is>
          <t>D</t>
        </is>
      </c>
      <c r="I133" t="inlineStr">
        <is>
          <t>11</t>
        </is>
      </c>
      <c r="J133" t="n">
        <v>1119</v>
      </c>
      <c r="K133" t="n">
        <v>1132</v>
      </c>
      <c r="L133">
        <f>K133-J133</f>
        <v/>
      </c>
      <c r="M133" t="n">
        <v>13</v>
      </c>
      <c r="N133">
        <f>IF(L133&lt;&gt;M133,1,0)</f>
        <v/>
      </c>
      <c r="O133" t="n">
        <v>13</v>
      </c>
      <c r="S133" t="n">
        <v>3</v>
      </c>
      <c r="T133" s="3">
        <f>SUM(O133:S133)</f>
        <v/>
      </c>
      <c r="U133" s="3">
        <f>IF(P133&lt;8,"USTED ESTÁ AL DÍA","USTED NO ESTÁ AL DÍA")</f>
        <v/>
      </c>
      <c r="V133" s="3" t="inlineStr">
        <is>
          <t>PAGO PRESENCIAL:  05/06 de 4-6 pm (LOCAL DEL PUEBLO), PAGO YAPE: 948 227 636</t>
        </is>
      </c>
      <c r="W133" t="n">
        <v>50</v>
      </c>
      <c r="X133" t="n">
        <v>75</v>
      </c>
      <c r="Y133">
        <f>T133+W133+X133</f>
        <v/>
      </c>
    </row>
    <row r="134" hidden="1" ht="15.75" customHeight="1" s="4">
      <c r="A134" s="3" t="n">
        <v>17028</v>
      </c>
      <c r="B134" s="3" t="inlineStr">
        <is>
          <t>11/04/2026 al 10/05/2026</t>
        </is>
      </c>
      <c r="C134" s="2" t="n">
        <v>46179</v>
      </c>
      <c r="D134" s="2" t="n">
        <v>46174</v>
      </c>
      <c r="E134" s="2" t="n">
        <v>46122</v>
      </c>
      <c r="F134" s="2" t="n">
        <v>46152</v>
      </c>
      <c r="G134" t="inlineStr">
        <is>
          <t>MARTINA MENDOZA ROMERO</t>
        </is>
      </c>
      <c r="H134" t="inlineStr">
        <is>
          <t>D</t>
        </is>
      </c>
      <c r="I134" t="inlineStr">
        <is>
          <t>12</t>
        </is>
      </c>
      <c r="J134" t="n">
        <v>283</v>
      </c>
      <c r="K134" t="n">
        <v>298</v>
      </c>
      <c r="L134">
        <f>K134-J134</f>
        <v/>
      </c>
      <c r="M134" t="n">
        <v>15</v>
      </c>
      <c r="N134">
        <f>IF(L134&lt;&gt;M134,1,0)</f>
        <v/>
      </c>
      <c r="O134" t="n">
        <v>15</v>
      </c>
      <c r="S134" t="n">
        <v>3</v>
      </c>
      <c r="T134" s="3">
        <f>SUM(O134:S134)</f>
        <v/>
      </c>
      <c r="U134" s="3">
        <f>IF(P134&lt;8,"USTED ESTÁ AL DÍA","USTED NO ESTÁ AL DÍA")</f>
        <v/>
      </c>
      <c r="V134" s="3" t="inlineStr">
        <is>
          <t>PAGO PRESENCIAL:  05/06 de 4-6 pm (LOCAL DEL PUEBLO), PAGO YAPE: 948 227 636</t>
        </is>
      </c>
      <c r="X134" t="n">
        <v>50</v>
      </c>
      <c r="Y134">
        <f>T134+W134+X134</f>
        <v/>
      </c>
    </row>
    <row r="135" hidden="1" ht="15.75" customHeight="1" s="4">
      <c r="A135" s="3" t="n">
        <v>17029</v>
      </c>
      <c r="B135" s="3" t="inlineStr">
        <is>
          <t>11/04/2026 al 10/05/2026</t>
        </is>
      </c>
      <c r="C135" s="2" t="n">
        <v>46179</v>
      </c>
      <c r="D135" s="2" t="n">
        <v>46174</v>
      </c>
      <c r="E135" s="2" t="n">
        <v>46122</v>
      </c>
      <c r="F135" s="2" t="n">
        <v>46152</v>
      </c>
      <c r="G135" t="inlineStr">
        <is>
          <t>ROSELA ELVIRA MUÑOZ HERMITAÑO</t>
        </is>
      </c>
      <c r="H135" t="inlineStr">
        <is>
          <t>D</t>
        </is>
      </c>
      <c r="I135" t="inlineStr">
        <is>
          <t>13</t>
        </is>
      </c>
      <c r="J135" t="n">
        <v>559</v>
      </c>
      <c r="K135" t="n">
        <v>581</v>
      </c>
      <c r="L135">
        <f>K135-J135</f>
        <v/>
      </c>
      <c r="M135" t="n">
        <v>22</v>
      </c>
      <c r="N135">
        <f>IF(L135&lt;&gt;M135,1,0)</f>
        <v/>
      </c>
      <c r="O135" t="n">
        <v>22</v>
      </c>
      <c r="S135" t="n">
        <v>3</v>
      </c>
      <c r="T135" s="3">
        <f>SUM(O135:S135)</f>
        <v/>
      </c>
      <c r="U135" s="3">
        <f>IF(P135&lt;8,"USTED ESTÁ AL DÍA","USTED NO ESTÁ AL DÍA")</f>
        <v/>
      </c>
      <c r="V135" s="3" t="inlineStr">
        <is>
          <t>PAGO PRESENCIAL:  05/06 de 4-6 pm (LOCAL DEL PUEBLO), PAGO YAPE: 948 227 636</t>
        </is>
      </c>
      <c r="W135" t="n">
        <v>30</v>
      </c>
      <c r="Y135">
        <f>T135+W135+X135</f>
        <v/>
      </c>
    </row>
    <row r="136" hidden="1" ht="15.75" customHeight="1" s="4">
      <c r="A136" s="3" t="n">
        <v>17030</v>
      </c>
      <c r="B136" s="3" t="inlineStr">
        <is>
          <t>11/04/2026 al 10/05/2026</t>
        </is>
      </c>
      <c r="C136" s="2" t="n">
        <v>46179</v>
      </c>
      <c r="D136" s="2" t="n">
        <v>46174</v>
      </c>
      <c r="E136" s="2" t="n">
        <v>46122</v>
      </c>
      <c r="F136" s="2" t="n">
        <v>46152</v>
      </c>
      <c r="G136" t="inlineStr">
        <is>
          <t>ESTEBAN GUERRERO CHINGEL</t>
        </is>
      </c>
      <c r="H136" t="inlineStr">
        <is>
          <t>D</t>
        </is>
      </c>
      <c r="I136" t="inlineStr">
        <is>
          <t>16</t>
        </is>
      </c>
      <c r="J136" t="n">
        <v>18</v>
      </c>
      <c r="K136" t="n">
        <v>25</v>
      </c>
      <c r="L136">
        <f>K136-J136</f>
        <v/>
      </c>
      <c r="M136" t="n">
        <v>7</v>
      </c>
      <c r="N136">
        <f>IF(L136&lt;&gt;M136,1,0)</f>
        <v/>
      </c>
      <c r="O136" t="n">
        <v>7</v>
      </c>
      <c r="R136" t="n">
        <v>25</v>
      </c>
      <c r="S136" t="n">
        <v>3</v>
      </c>
      <c r="T136" s="3">
        <f>SUM(O136:S136)</f>
        <v/>
      </c>
      <c r="U136" s="3">
        <f>IF(P136&lt;8,"USTED ESTÁ AL DÍA","USTED NO ESTÁ AL DÍA")</f>
        <v/>
      </c>
      <c r="V136" s="3" t="inlineStr">
        <is>
          <t>PAGO PRESENCIAL:  05/06 de 4-6 pm (LOCAL DEL PUEBLO), PAGO YAPE: 948 227 636</t>
        </is>
      </c>
      <c r="W136" t="n">
        <v>50</v>
      </c>
      <c r="X136" t="n">
        <v>50</v>
      </c>
      <c r="Y136">
        <f>T136+W136+X136</f>
        <v/>
      </c>
    </row>
    <row r="137" hidden="1" ht="15.75" customHeight="1" s="4">
      <c r="A137" s="3" t="n">
        <v>17031</v>
      </c>
      <c r="B137" s="3" t="inlineStr">
        <is>
          <t>11/04/2026 al 10/05/2026</t>
        </is>
      </c>
      <c r="C137" s="2" t="n">
        <v>46179</v>
      </c>
      <c r="D137" s="2" t="n">
        <v>46174</v>
      </c>
      <c r="E137" s="2" t="n">
        <v>46122</v>
      </c>
      <c r="F137" s="2" t="n">
        <v>46152</v>
      </c>
      <c r="G137" t="inlineStr">
        <is>
          <t>MACARIO REQUEZ ROMERO</t>
        </is>
      </c>
      <c r="H137" t="inlineStr">
        <is>
          <t>D</t>
        </is>
      </c>
      <c r="I137" t="inlineStr">
        <is>
          <t>17</t>
        </is>
      </c>
      <c r="J137" t="n">
        <v>3183</v>
      </c>
      <c r="K137" t="n">
        <v>3209</v>
      </c>
      <c r="L137">
        <f>K137-J137</f>
        <v/>
      </c>
      <c r="M137" t="n">
        <v>26</v>
      </c>
      <c r="N137">
        <f>IF(L137&lt;&gt;M137,1,0)</f>
        <v/>
      </c>
      <c r="O137" t="n">
        <v>26</v>
      </c>
      <c r="S137" t="n">
        <v>3</v>
      </c>
      <c r="T137" s="3">
        <f>SUM(O137:S137)</f>
        <v/>
      </c>
      <c r="U137" s="3">
        <f>IF(P137&lt;8,"USTED ESTÁ AL DÍA","USTED NO ESTÁ AL DÍA")</f>
        <v/>
      </c>
      <c r="V137" s="3" t="inlineStr">
        <is>
          <t>PAGO PRESENCIAL:  05/06 de 4-6 pm (LOCAL DEL PUEBLO), PAGO YAPE: 948 227 636</t>
        </is>
      </c>
      <c r="Y137">
        <f>T137+W137+X137</f>
        <v/>
      </c>
    </row>
    <row r="138" hidden="1" ht="15.75" customHeight="1" s="4">
      <c r="A138" s="3" t="n">
        <v>17032</v>
      </c>
      <c r="B138" s="3" t="inlineStr">
        <is>
          <t>11/04/2026 al 10/05/2026</t>
        </is>
      </c>
      <c r="C138" s="2" t="n">
        <v>46179</v>
      </c>
      <c r="D138" s="2" t="n">
        <v>46174</v>
      </c>
      <c r="E138" s="2" t="n">
        <v>46122</v>
      </c>
      <c r="F138" s="2" t="n">
        <v>46152</v>
      </c>
      <c r="G138" t="inlineStr">
        <is>
          <t>LUIS GERARDO SAAVEDRA SAAVEDRA</t>
        </is>
      </c>
      <c r="H138" t="inlineStr">
        <is>
          <t>D</t>
        </is>
      </c>
      <c r="I138" t="inlineStr">
        <is>
          <t>18</t>
        </is>
      </c>
      <c r="J138" t="n">
        <v>1052</v>
      </c>
      <c r="K138" t="n">
        <v>1105</v>
      </c>
      <c r="L138">
        <f>K138-J138</f>
        <v/>
      </c>
      <c r="M138" t="n">
        <v>53</v>
      </c>
      <c r="N138">
        <f>IF(L138&lt;&gt;M138,1,0)</f>
        <v/>
      </c>
      <c r="O138" t="n">
        <v>53</v>
      </c>
      <c r="S138" t="n">
        <v>3</v>
      </c>
      <c r="T138" s="3">
        <f>SUM(O138:S138)</f>
        <v/>
      </c>
      <c r="U138" s="3">
        <f>IF(P138&lt;8,"USTED ESTÁ AL DÍA","USTED NO ESTÁ AL DÍA")</f>
        <v/>
      </c>
      <c r="V138" s="3" t="inlineStr">
        <is>
          <t>PAGO PRESENCIAL:  05/06 de 4-6 pm (LOCAL DEL PUEBLO), PAGO YAPE: 948 227 636</t>
        </is>
      </c>
      <c r="Y138">
        <f>T138+W138+X138</f>
        <v/>
      </c>
    </row>
    <row r="139" hidden="1" ht="15.75" customHeight="1" s="4">
      <c r="A139" s="3" t="n">
        <v>17033</v>
      </c>
      <c r="B139" s="3" t="inlineStr">
        <is>
          <t>11/04/2026 al 10/05/2026</t>
        </is>
      </c>
      <c r="C139" s="2" t="n">
        <v>46179</v>
      </c>
      <c r="D139" s="2" t="n">
        <v>46174</v>
      </c>
      <c r="E139" s="2" t="n">
        <v>46122</v>
      </c>
      <c r="F139" s="2" t="n">
        <v>46152</v>
      </c>
      <c r="G139" t="inlineStr">
        <is>
          <t>FELIPE DOMINGO VENTURO CAPCHA</t>
        </is>
      </c>
      <c r="H139" t="inlineStr">
        <is>
          <t>D</t>
        </is>
      </c>
      <c r="I139" t="inlineStr">
        <is>
          <t>19</t>
        </is>
      </c>
      <c r="J139" t="n">
        <v>47</v>
      </c>
      <c r="K139" t="n">
        <v>65</v>
      </c>
      <c r="L139">
        <f>K139-J139</f>
        <v/>
      </c>
      <c r="M139" t="n">
        <v>18</v>
      </c>
      <c r="N139">
        <f>IF(L139&lt;&gt;M139,1,0)</f>
        <v/>
      </c>
      <c r="O139" t="n">
        <v>18</v>
      </c>
      <c r="R139" t="n">
        <v>25</v>
      </c>
      <c r="S139" t="n">
        <v>3</v>
      </c>
      <c r="T139" s="3">
        <f>SUM(O139:S139)</f>
        <v/>
      </c>
      <c r="U139" s="3">
        <f>IF(P139&lt;8,"USTED ESTÁ AL DÍA","USTED NO ESTÁ AL DÍA")</f>
        <v/>
      </c>
      <c r="V139" s="3" t="inlineStr">
        <is>
          <t>PAGO PRESENCIAL:  05/06 de 4-6 pm (LOCAL DEL PUEBLO), PAGO YAPE: 948 227 636</t>
        </is>
      </c>
      <c r="W139" t="n">
        <v>30</v>
      </c>
      <c r="X139" t="n">
        <v>50</v>
      </c>
      <c r="Y139">
        <f>T139+W139+X139</f>
        <v/>
      </c>
    </row>
    <row r="140" hidden="1" ht="15.75" customHeight="1" s="4">
      <c r="A140" s="3" t="n">
        <v>17034</v>
      </c>
      <c r="B140" s="3" t="inlineStr">
        <is>
          <t>11/04/2026 al 10/05/2026</t>
        </is>
      </c>
      <c r="C140" s="2" t="n">
        <v>46179</v>
      </c>
      <c r="D140" s="2" t="n">
        <v>46174</v>
      </c>
      <c r="E140" s="2" t="n">
        <v>46122</v>
      </c>
      <c r="F140" s="2" t="n">
        <v>46152</v>
      </c>
      <c r="G140" t="inlineStr">
        <is>
          <t>ADOLFO GUILLERMO JARA TRUJILLO</t>
        </is>
      </c>
      <c r="H140" t="inlineStr">
        <is>
          <t>D</t>
        </is>
      </c>
      <c r="I140" t="inlineStr">
        <is>
          <t>14</t>
        </is>
      </c>
      <c r="L140">
        <f>K140-J140</f>
        <v/>
      </c>
      <c r="S140" t="n">
        <v>0</v>
      </c>
      <c r="T140" s="3">
        <f>SUM(O140:S140)</f>
        <v/>
      </c>
      <c r="U140" s="3">
        <f>IF(P140&lt;8,"USTED ESTÁ AL DÍA","USTED NO ESTÁ AL DÍA")</f>
        <v/>
      </c>
      <c r="V140" s="3" t="inlineStr">
        <is>
          <t>PAGO PRESENCIAL:  05/06 de 4-6 pm (LOCAL DEL PUEBLO), PAGO YAPE: 948 227 636</t>
        </is>
      </c>
      <c r="W140" t="n">
        <v>50</v>
      </c>
      <c r="Y140">
        <f>T140+W140+X140</f>
        <v/>
      </c>
    </row>
    <row r="141" hidden="1" ht="15.75" customHeight="1" s="4">
      <c r="A141" s="3" t="n">
        <v>17035</v>
      </c>
      <c r="B141" s="3" t="inlineStr">
        <is>
          <t>11/04/2026 al 10/05/2026</t>
        </is>
      </c>
      <c r="C141" s="2" t="n">
        <v>46179</v>
      </c>
      <c r="D141" s="2" t="n">
        <v>46174</v>
      </c>
      <c r="E141" s="2" t="n">
        <v>46122</v>
      </c>
      <c r="F141" s="2" t="n">
        <v>46152</v>
      </c>
      <c r="G141" t="inlineStr">
        <is>
          <t>ELAMI AZUCENA ULLOA</t>
        </is>
      </c>
      <c r="H141" t="inlineStr">
        <is>
          <t>D1</t>
        </is>
      </c>
      <c r="I141" t="inlineStr">
        <is>
          <t>2</t>
        </is>
      </c>
      <c r="J141" t="n">
        <v>40</v>
      </c>
      <c r="K141" t="n">
        <v>40</v>
      </c>
      <c r="L141">
        <f>K141-J141</f>
        <v/>
      </c>
      <c r="M141" t="n">
        <v>5</v>
      </c>
      <c r="O141" t="n">
        <v>5</v>
      </c>
      <c r="S141" t="n">
        <v>3</v>
      </c>
      <c r="T141" s="3">
        <f>SUM(O141:S141)</f>
        <v/>
      </c>
      <c r="U141" s="3">
        <f>IF(P141&lt;8,"USTED ESTÁ AL DÍA","USTED NO ESTÁ AL DÍA")</f>
        <v/>
      </c>
      <c r="V141" s="3" t="inlineStr">
        <is>
          <t>PAGO PRESENCIAL:  05/06 de 4-6 pm (LOCAL DEL PUEBLO), PAGO YAPE: 948 227 636</t>
        </is>
      </c>
      <c r="W141" t="n">
        <v>50</v>
      </c>
      <c r="Y141">
        <f>T141+W141+X141</f>
        <v/>
      </c>
    </row>
    <row r="142" hidden="1" ht="15.75" customHeight="1" s="4">
      <c r="A142" s="3" t="n">
        <v>17036</v>
      </c>
      <c r="B142" s="3" t="inlineStr">
        <is>
          <t>11/04/2026 al 10/05/2026</t>
        </is>
      </c>
      <c r="C142" s="2" t="n">
        <v>46179</v>
      </c>
      <c r="D142" s="2" t="n">
        <v>46174</v>
      </c>
      <c r="E142" s="2" t="n">
        <v>46122</v>
      </c>
      <c r="F142" s="2" t="n">
        <v>46152</v>
      </c>
      <c r="G142" t="inlineStr">
        <is>
          <t>MARGARITA CRIOLLO GASPAR</t>
        </is>
      </c>
      <c r="H142" t="inlineStr">
        <is>
          <t>D1</t>
        </is>
      </c>
      <c r="I142" t="inlineStr">
        <is>
          <t>3</t>
        </is>
      </c>
      <c r="J142" t="n">
        <v>647</v>
      </c>
      <c r="K142" t="n">
        <v>653</v>
      </c>
      <c r="L142">
        <f>K142-J142</f>
        <v/>
      </c>
      <c r="M142" t="n">
        <v>6</v>
      </c>
      <c r="N142">
        <f>IF(L142&lt;&gt;M142,1,0)</f>
        <v/>
      </c>
      <c r="O142" t="n">
        <v>6</v>
      </c>
      <c r="S142" t="n">
        <v>3</v>
      </c>
      <c r="T142" s="3">
        <f>SUM(O142:S142)</f>
        <v/>
      </c>
      <c r="U142" s="3">
        <f>IF(P142&lt;8,"USTED ESTÁ AL DÍA","USTED NO ESTÁ AL DÍA")</f>
        <v/>
      </c>
      <c r="V142" s="3" t="inlineStr">
        <is>
          <t>PAGO PRESENCIAL:  05/06 de 4-6 pm (LOCAL DEL PUEBLO), PAGO YAPE: 948 227 636</t>
        </is>
      </c>
      <c r="W142" t="n">
        <v>20</v>
      </c>
      <c r="X142" t="n">
        <v>55</v>
      </c>
      <c r="Y142">
        <f>T142+W142+X142</f>
        <v/>
      </c>
    </row>
    <row r="143" hidden="1" ht="15.75" customHeight="1" s="4">
      <c r="A143" s="3" t="n">
        <v>17037</v>
      </c>
      <c r="B143" s="3" t="inlineStr">
        <is>
          <t>11/04/2026 al 10/05/2026</t>
        </is>
      </c>
      <c r="C143" s="2" t="n">
        <v>46179</v>
      </c>
      <c r="D143" s="2" t="n">
        <v>46174</v>
      </c>
      <c r="E143" s="2" t="n">
        <v>46122</v>
      </c>
      <c r="F143" s="2" t="n">
        <v>46152</v>
      </c>
      <c r="G143" t="inlineStr">
        <is>
          <t>JUANA LOPEZ CANTARO</t>
        </is>
      </c>
      <c r="H143" t="inlineStr">
        <is>
          <t>D1</t>
        </is>
      </c>
      <c r="I143" t="inlineStr">
        <is>
          <t>4</t>
        </is>
      </c>
      <c r="J143" t="n">
        <v>91</v>
      </c>
      <c r="K143" t="n">
        <v>97</v>
      </c>
      <c r="L143">
        <f>K143-J143</f>
        <v/>
      </c>
      <c r="M143" t="n">
        <v>6</v>
      </c>
      <c r="N143">
        <f>IF(L143&lt;&gt;M143,1,0)</f>
        <v/>
      </c>
      <c r="O143" t="n">
        <v>6</v>
      </c>
      <c r="S143" t="n">
        <v>3</v>
      </c>
      <c r="T143" s="3">
        <f>SUM(O143:S143)</f>
        <v/>
      </c>
      <c r="U143" s="3">
        <f>IF(P143&lt;8,"USTED ESTÁ AL DÍA","USTED NO ESTÁ AL DÍA")</f>
        <v/>
      </c>
      <c r="V143" s="3" t="inlineStr">
        <is>
          <t>PAGO PRESENCIAL:  05/06 de 4-6 pm (LOCAL DEL PUEBLO), PAGO YAPE: 948 227 636</t>
        </is>
      </c>
      <c r="Y143">
        <f>T143+W143+X143</f>
        <v/>
      </c>
    </row>
    <row r="144" hidden="1" ht="15.75" customHeight="1" s="4">
      <c r="A144" s="3" t="n">
        <v>17038</v>
      </c>
      <c r="B144" s="3" t="inlineStr">
        <is>
          <t>11/04/2026 al 10/05/2026</t>
        </is>
      </c>
      <c r="C144" s="2" t="n">
        <v>46179</v>
      </c>
      <c r="D144" s="2" t="n">
        <v>46174</v>
      </c>
      <c r="E144" s="2" t="n">
        <v>46122</v>
      </c>
      <c r="F144" s="2" t="n">
        <v>46152</v>
      </c>
      <c r="G144" t="inlineStr">
        <is>
          <t>ONITA PONTE EGUIZABAL</t>
        </is>
      </c>
      <c r="H144" t="inlineStr">
        <is>
          <t>D1</t>
        </is>
      </c>
      <c r="I144" t="inlineStr">
        <is>
          <t>6</t>
        </is>
      </c>
      <c r="J144" t="n">
        <v>274</v>
      </c>
      <c r="K144" t="n">
        <v>279</v>
      </c>
      <c r="L144">
        <f>K144-J144</f>
        <v/>
      </c>
      <c r="M144" t="n">
        <v>5</v>
      </c>
      <c r="O144" t="n">
        <v>5</v>
      </c>
      <c r="S144" t="n">
        <v>3</v>
      </c>
      <c r="T144" s="3">
        <f>SUM(O144:S144)</f>
        <v/>
      </c>
      <c r="U144" s="3">
        <f>IF(P144&lt;8,"USTED ESTÁ AL DÍA","USTED NO ESTÁ AL DÍA")</f>
        <v/>
      </c>
      <c r="V144" s="3" t="inlineStr">
        <is>
          <t>PAGO PRESENCIAL:  05/06 de 4-6 pm (LOCAL DEL PUEBLO), PAGO YAPE: 948 227 636</t>
        </is>
      </c>
      <c r="W144" t="n">
        <v>30</v>
      </c>
      <c r="X144" t="n">
        <v>50</v>
      </c>
      <c r="Y144">
        <f>T144+W144+X144</f>
        <v/>
      </c>
    </row>
    <row r="145" hidden="1" ht="15.75" customHeight="1" s="4">
      <c r="A145" s="3" t="n">
        <v>17039</v>
      </c>
      <c r="B145" s="3" t="inlineStr">
        <is>
          <t>11/04/2026 al 10/05/2026</t>
        </is>
      </c>
      <c r="C145" s="2" t="n">
        <v>46179</v>
      </c>
      <c r="D145" s="2" t="n">
        <v>46174</v>
      </c>
      <c r="E145" s="2" t="n">
        <v>46122</v>
      </c>
      <c r="F145" s="2" t="n">
        <v>46152</v>
      </c>
      <c r="G145" t="inlineStr">
        <is>
          <t>FAUSTINA POMALLANQUI GOMEZ</t>
        </is>
      </c>
      <c r="H145" t="inlineStr">
        <is>
          <t>D1</t>
        </is>
      </c>
      <c r="I145" t="inlineStr">
        <is>
          <t>1</t>
        </is>
      </c>
      <c r="J145" t="n">
        <v>165</v>
      </c>
      <c r="K145" t="n">
        <v>165</v>
      </c>
      <c r="L145">
        <f>K145-J145</f>
        <v/>
      </c>
      <c r="M145" t="n">
        <v>5</v>
      </c>
      <c r="O145" t="n">
        <v>5</v>
      </c>
      <c r="P145" t="n">
        <v>104</v>
      </c>
      <c r="S145" t="n">
        <v>3</v>
      </c>
      <c r="T145" s="3">
        <f>SUM(O145:S145)</f>
        <v/>
      </c>
      <c r="U145" s="3">
        <f>IF(P145&lt;8,"USTED ESTÁ AL DÍA","USTED NO ESTÁ AL DÍA")</f>
        <v/>
      </c>
      <c r="V145" s="3" t="inlineStr">
        <is>
          <t>PAGO PRESENCIAL:  05/06 de 4-6 pm (LOCAL DEL PUEBLO), PAGO YAPE: 948 227 636</t>
        </is>
      </c>
      <c r="W145" t="n">
        <v>80</v>
      </c>
      <c r="X145" t="n">
        <v>75</v>
      </c>
      <c r="Y145">
        <f>T145+W145+X145</f>
        <v/>
      </c>
    </row>
    <row r="146" hidden="1" ht="15.75" customHeight="1" s="4">
      <c r="A146" s="3" t="n">
        <v>17040</v>
      </c>
      <c r="B146" s="3" t="inlineStr">
        <is>
          <t>11/04/2026 al 10/05/2026</t>
        </is>
      </c>
      <c r="C146" s="2" t="n">
        <v>46179</v>
      </c>
      <c r="D146" s="2" t="n">
        <v>46174</v>
      </c>
      <c r="E146" s="2" t="n">
        <v>46122</v>
      </c>
      <c r="F146" s="2" t="n">
        <v>46152</v>
      </c>
      <c r="G146" t="inlineStr">
        <is>
          <t>ELMER MELENDEZ BLAS</t>
        </is>
      </c>
      <c r="H146" t="inlineStr">
        <is>
          <t>D1</t>
        </is>
      </c>
      <c r="I146" t="inlineStr">
        <is>
          <t>5</t>
        </is>
      </c>
      <c r="J146" t="n">
        <v>902</v>
      </c>
      <c r="K146" t="n">
        <v>911</v>
      </c>
      <c r="L146">
        <f>K146-J146</f>
        <v/>
      </c>
      <c r="M146" t="n">
        <v>9</v>
      </c>
      <c r="N146">
        <f>IF(L146&lt;&gt;M146,1,0)</f>
        <v/>
      </c>
      <c r="O146" t="n">
        <v>9</v>
      </c>
      <c r="P146" t="n">
        <v>11</v>
      </c>
      <c r="S146" t="n">
        <v>3</v>
      </c>
      <c r="T146" s="3">
        <f>SUM(O146:S146)</f>
        <v/>
      </c>
      <c r="U146" s="3">
        <f>IF(P146&lt;8,"USTED ESTÁ AL DÍA","USTED NO ESTÁ AL DÍA")</f>
        <v/>
      </c>
      <c r="V146" s="3" t="inlineStr">
        <is>
          <t>PAGO PRESENCIAL:  05/06 de 4-6 pm (LOCAL DEL PUEBLO), PAGO YAPE: 948 227 636</t>
        </is>
      </c>
      <c r="W146" t="n">
        <v>20</v>
      </c>
      <c r="X146" t="n">
        <v>50</v>
      </c>
      <c r="Y146">
        <f>T146+W146+X146</f>
        <v/>
      </c>
    </row>
    <row r="147" hidden="1" ht="15.75" customHeight="1" s="4">
      <c r="A147" s="3" t="n">
        <v>17041</v>
      </c>
      <c r="B147" s="3" t="inlineStr">
        <is>
          <t>11/04/2026 al 10/05/2026</t>
        </is>
      </c>
      <c r="C147" s="2" t="n">
        <v>46179</v>
      </c>
      <c r="D147" s="2" t="n">
        <v>46174</v>
      </c>
      <c r="E147" s="2" t="n">
        <v>46122</v>
      </c>
      <c r="F147" s="2" t="n">
        <v>46152</v>
      </c>
      <c r="G147" t="inlineStr">
        <is>
          <t>YOLANDA MATILDE MONTALVO COSME</t>
        </is>
      </c>
      <c r="H147" t="inlineStr">
        <is>
          <t>E</t>
        </is>
      </c>
      <c r="I147" t="inlineStr">
        <is>
          <t>1</t>
        </is>
      </c>
      <c r="J147" t="n">
        <v>306</v>
      </c>
      <c r="K147" t="n">
        <v>307</v>
      </c>
      <c r="L147">
        <f>K147-J147</f>
        <v/>
      </c>
      <c r="M147" t="n">
        <v>5</v>
      </c>
      <c r="O147" t="n">
        <v>5</v>
      </c>
      <c r="S147" t="n">
        <v>3</v>
      </c>
      <c r="T147" s="3">
        <f>SUM(O147:S147)</f>
        <v/>
      </c>
      <c r="U147" s="3">
        <f>IF(P147&lt;8,"USTED ESTÁ AL DÍA","USTED NO ESTÁ AL DÍA")</f>
        <v/>
      </c>
      <c r="V147" s="3" t="inlineStr">
        <is>
          <t>PAGO PRESENCIAL:  05/06 de 4-6 pm (LOCAL DEL PUEBLO), PAGO YAPE: 948 227 636</t>
        </is>
      </c>
      <c r="Y147">
        <f>T147+W147+X147</f>
        <v/>
      </c>
    </row>
    <row r="148" hidden="1" ht="15.75" customHeight="1" s="4">
      <c r="A148" s="3" t="n">
        <v>17042</v>
      </c>
      <c r="B148" s="3" t="inlineStr">
        <is>
          <t>11/04/2026 al 10/05/2026</t>
        </is>
      </c>
      <c r="C148" s="2" t="n">
        <v>46179</v>
      </c>
      <c r="D148" s="2" t="n">
        <v>46174</v>
      </c>
      <c r="E148" s="2" t="n">
        <v>46122</v>
      </c>
      <c r="F148" s="2" t="n">
        <v>46152</v>
      </c>
      <c r="G148" t="inlineStr">
        <is>
          <t>DARIO ROSALES TICLIO</t>
        </is>
      </c>
      <c r="H148" t="inlineStr">
        <is>
          <t>E</t>
        </is>
      </c>
      <c r="I148" t="inlineStr">
        <is>
          <t>2</t>
        </is>
      </c>
      <c r="J148" t="n">
        <v>53</v>
      </c>
      <c r="K148" t="n">
        <v>76</v>
      </c>
      <c r="L148">
        <f>K148-J148</f>
        <v/>
      </c>
      <c r="M148" t="n">
        <v>23</v>
      </c>
      <c r="N148">
        <f>IF(L148&lt;&gt;M148,1,0)</f>
        <v/>
      </c>
      <c r="O148" t="n">
        <v>23</v>
      </c>
      <c r="R148" t="n">
        <v>25</v>
      </c>
      <c r="S148" t="n">
        <v>3</v>
      </c>
      <c r="T148" s="3">
        <f>SUM(O148:S148)</f>
        <v/>
      </c>
      <c r="U148" s="3">
        <f>IF(P148&lt;8,"USTED ESTÁ AL DÍA","USTED NO ESTÁ AL DÍA")</f>
        <v/>
      </c>
      <c r="V148" s="3" t="inlineStr">
        <is>
          <t>PAGO PRESENCIAL:  05/06 de 4-6 pm (LOCAL DEL PUEBLO), PAGO YAPE: 948 227 636</t>
        </is>
      </c>
      <c r="W148" t="n">
        <v>30</v>
      </c>
      <c r="Y148">
        <f>T148+W148+X148</f>
        <v/>
      </c>
    </row>
    <row r="149" hidden="1" ht="15.75" customHeight="1" s="4">
      <c r="A149" s="3" t="n">
        <v>17043</v>
      </c>
      <c r="B149" s="3" t="inlineStr">
        <is>
          <t>11/04/2026 al 10/05/2026</t>
        </is>
      </c>
      <c r="C149" s="2" t="n">
        <v>46179</v>
      </c>
      <c r="D149" s="2" t="n">
        <v>46174</v>
      </c>
      <c r="E149" s="2" t="n">
        <v>46122</v>
      </c>
      <c r="F149" s="2" t="n">
        <v>46152</v>
      </c>
      <c r="G149" t="inlineStr">
        <is>
          <t>FELIX ENRIQUE VALENCIA FERNANDEZ</t>
        </is>
      </c>
      <c r="H149" t="inlineStr">
        <is>
          <t>E</t>
        </is>
      </c>
      <c r="I149" t="inlineStr">
        <is>
          <t>3</t>
        </is>
      </c>
      <c r="J149" t="n">
        <v>3000</v>
      </c>
      <c r="K149" t="n">
        <v>3015</v>
      </c>
      <c r="L149">
        <f>K149-J149</f>
        <v/>
      </c>
      <c r="M149" t="n">
        <v>15</v>
      </c>
      <c r="N149">
        <f>IF(L149&lt;&gt;M149,1,0)</f>
        <v/>
      </c>
      <c r="O149" t="n">
        <v>15</v>
      </c>
      <c r="S149" t="n">
        <v>3</v>
      </c>
      <c r="T149" s="3">
        <f>SUM(O149:S149)</f>
        <v/>
      </c>
      <c r="U149" s="3">
        <f>IF(P149&lt;8,"USTED ESTÁ AL DÍA","USTED NO ESTÁ AL DÍA")</f>
        <v/>
      </c>
      <c r="V149" s="3" t="inlineStr">
        <is>
          <t>PAGO PRESENCIAL:  05/06 de 4-6 pm (LOCAL DEL PUEBLO), PAGO YAPE: 948 227 636</t>
        </is>
      </c>
      <c r="W149" t="n">
        <v>20</v>
      </c>
      <c r="Y149">
        <f>T149+W149+X149</f>
        <v/>
      </c>
    </row>
    <row r="150" hidden="1" ht="15.75" customHeight="1" s="4">
      <c r="A150" s="3" t="n">
        <v>17044</v>
      </c>
      <c r="B150" s="3" t="inlineStr">
        <is>
          <t>11/04/2026 al 10/05/2026</t>
        </is>
      </c>
      <c r="C150" s="2" t="n">
        <v>46179</v>
      </c>
      <c r="D150" s="2" t="n">
        <v>46174</v>
      </c>
      <c r="E150" s="2" t="n">
        <v>46122</v>
      </c>
      <c r="F150" s="2" t="n">
        <v>46152</v>
      </c>
      <c r="G150" t="inlineStr">
        <is>
          <t>FELIX VELASQUEZ LOPEZ</t>
        </is>
      </c>
      <c r="H150" t="inlineStr">
        <is>
          <t>E</t>
        </is>
      </c>
      <c r="I150" t="inlineStr">
        <is>
          <t>4</t>
        </is>
      </c>
      <c r="J150" t="n">
        <v>218</v>
      </c>
      <c r="K150" t="n">
        <v>232</v>
      </c>
      <c r="L150">
        <f>K150-J150</f>
        <v/>
      </c>
      <c r="M150" t="n">
        <v>14</v>
      </c>
      <c r="N150">
        <f>IF(L150&lt;&gt;M150,1,0)</f>
        <v/>
      </c>
      <c r="O150" t="n">
        <v>14</v>
      </c>
      <c r="S150" t="n">
        <v>3</v>
      </c>
      <c r="T150" s="3">
        <f>SUM(O150:S150)</f>
        <v/>
      </c>
      <c r="U150" s="3">
        <f>IF(P150&lt;8,"USTED ESTÁ AL DÍA","USTED NO ESTÁ AL DÍA")</f>
        <v/>
      </c>
      <c r="V150" s="3" t="inlineStr">
        <is>
          <t>PAGO PRESENCIAL:  05/06 de 4-6 pm (LOCAL DEL PUEBLO), PAGO YAPE: 948 227 636</t>
        </is>
      </c>
      <c r="W150" t="n">
        <v>30</v>
      </c>
      <c r="X150" t="n">
        <v>50</v>
      </c>
      <c r="Y150">
        <f>T150+W150+X150</f>
        <v/>
      </c>
    </row>
    <row r="151" hidden="1" ht="15.75" customHeight="1" s="4">
      <c r="A151" s="3" t="n">
        <v>17045</v>
      </c>
      <c r="B151" s="3" t="inlineStr">
        <is>
          <t>11/04/2026 al 10/05/2026</t>
        </is>
      </c>
      <c r="C151" s="2" t="n">
        <v>46179</v>
      </c>
      <c r="D151" s="2" t="n">
        <v>46174</v>
      </c>
      <c r="E151" s="2" t="n">
        <v>46122</v>
      </c>
      <c r="F151" s="2" t="n">
        <v>46152</v>
      </c>
      <c r="G151" t="inlineStr">
        <is>
          <t>LUIS ALBERTO GOMEZ LAHUANA</t>
        </is>
      </c>
      <c r="H151" t="inlineStr">
        <is>
          <t>E</t>
        </is>
      </c>
      <c r="I151" t="inlineStr">
        <is>
          <t>6</t>
        </is>
      </c>
      <c r="J151" t="n">
        <v>969</v>
      </c>
      <c r="K151" t="n">
        <v>980</v>
      </c>
      <c r="L151">
        <f>K151-J151</f>
        <v/>
      </c>
      <c r="M151" t="n">
        <v>11</v>
      </c>
      <c r="N151">
        <f>IF(L151&lt;&gt;M151,1,0)</f>
        <v/>
      </c>
      <c r="O151" t="n">
        <v>11</v>
      </c>
      <c r="S151" t="n">
        <v>3</v>
      </c>
      <c r="T151" s="3">
        <f>SUM(O151:S151)</f>
        <v/>
      </c>
      <c r="U151" s="3">
        <f>IF(P151&lt;8,"USTED ESTÁ AL DÍA","USTED NO ESTÁ AL DÍA")</f>
        <v/>
      </c>
      <c r="V151" s="3" t="inlineStr">
        <is>
          <t>PAGO PRESENCIAL:  05/06 de 4-6 pm (LOCAL DEL PUEBLO), PAGO YAPE: 948 227 636</t>
        </is>
      </c>
      <c r="Y151">
        <f>T151+W151+X151</f>
        <v/>
      </c>
    </row>
    <row r="152" hidden="1" ht="15.75" customHeight="1" s="4">
      <c r="A152" s="3" t="n">
        <v>17046</v>
      </c>
      <c r="B152" s="3" t="inlineStr">
        <is>
          <t>11/04/2026 al 10/05/2026</t>
        </is>
      </c>
      <c r="C152" s="2" t="n">
        <v>46179</v>
      </c>
      <c r="D152" s="2" t="n">
        <v>46174</v>
      </c>
      <c r="E152" s="2" t="n">
        <v>46122</v>
      </c>
      <c r="F152" s="2" t="n">
        <v>46152</v>
      </c>
      <c r="G152" t="inlineStr">
        <is>
          <t>GREGORIO TRUJILLO LEON</t>
        </is>
      </c>
      <c r="H152" t="inlineStr">
        <is>
          <t>E</t>
        </is>
      </c>
      <c r="I152" t="inlineStr">
        <is>
          <t>7</t>
        </is>
      </c>
      <c r="J152" t="n">
        <v>72</v>
      </c>
      <c r="K152" t="n">
        <v>77</v>
      </c>
      <c r="L152">
        <f>K152-J152</f>
        <v/>
      </c>
      <c r="M152" t="n">
        <v>5</v>
      </c>
      <c r="N152">
        <f>IF(L152&lt;&gt;M152,1,0)</f>
        <v/>
      </c>
      <c r="O152" t="n">
        <v>5</v>
      </c>
      <c r="S152" t="n">
        <v>3</v>
      </c>
      <c r="T152" s="3">
        <f>SUM(O152:S152)</f>
        <v/>
      </c>
      <c r="U152" s="3">
        <f>IF(P152&lt;8,"USTED ESTÁ AL DÍA","USTED NO ESTÁ AL DÍA")</f>
        <v/>
      </c>
      <c r="V152" s="3" t="inlineStr">
        <is>
          <t>PAGO PRESENCIAL:  05/06 de 4-6 pm (LOCAL DEL PUEBLO), PAGO YAPE: 948 227 636</t>
        </is>
      </c>
      <c r="Y152">
        <f>T152+W152+X152</f>
        <v/>
      </c>
    </row>
    <row r="153" hidden="1" ht="15.75" customHeight="1" s="4">
      <c r="A153" s="3" t="n">
        <v>17047</v>
      </c>
      <c r="B153" s="3" t="inlineStr">
        <is>
          <t>11/04/2026 al 10/05/2026</t>
        </is>
      </c>
      <c r="C153" s="2" t="n">
        <v>46179</v>
      </c>
      <c r="D153" s="2" t="n">
        <v>46174</v>
      </c>
      <c r="E153" s="2" t="n">
        <v>46122</v>
      </c>
      <c r="F153" s="2" t="n">
        <v>46152</v>
      </c>
      <c r="G153" t="inlineStr">
        <is>
          <t>GERTRUDES VIDAL GONZALES</t>
        </is>
      </c>
      <c r="H153" t="inlineStr">
        <is>
          <t>E</t>
        </is>
      </c>
      <c r="I153" t="inlineStr">
        <is>
          <t>8</t>
        </is>
      </c>
      <c r="J153" t="n">
        <v>1010</v>
      </c>
      <c r="K153" t="n">
        <v>1013</v>
      </c>
      <c r="L153">
        <f>K153-J153</f>
        <v/>
      </c>
      <c r="M153" t="n">
        <v>5</v>
      </c>
      <c r="O153" t="n">
        <v>5</v>
      </c>
      <c r="S153" t="n">
        <v>3</v>
      </c>
      <c r="T153" s="3">
        <f>SUM(O153:S153)</f>
        <v/>
      </c>
      <c r="U153" s="3">
        <f>IF(P153&lt;8,"USTED ESTÁ AL DÍA","USTED NO ESTÁ AL DÍA")</f>
        <v/>
      </c>
      <c r="V153" s="3" t="inlineStr">
        <is>
          <t>PAGO PRESENCIAL:  05/06 de 4-6 pm (LOCAL DEL PUEBLO), PAGO YAPE: 948 227 636</t>
        </is>
      </c>
      <c r="W153" t="n">
        <v>50</v>
      </c>
      <c r="Y153">
        <f>T153+W153+X153</f>
        <v/>
      </c>
    </row>
    <row r="154" hidden="1" ht="15.75" customHeight="1" s="4">
      <c r="A154" s="3" t="n">
        <v>17048</v>
      </c>
      <c r="B154" s="3" t="inlineStr">
        <is>
          <t>11/04/2026 al 10/05/2026</t>
        </is>
      </c>
      <c r="C154" s="2" t="n">
        <v>46179</v>
      </c>
      <c r="D154" s="2" t="n">
        <v>46174</v>
      </c>
      <c r="E154" s="2" t="n">
        <v>46122</v>
      </c>
      <c r="F154" s="2" t="n">
        <v>46152</v>
      </c>
      <c r="G154" t="inlineStr">
        <is>
          <t>MARIA NANCY SIGUEÑAS UGARTE</t>
        </is>
      </c>
      <c r="H154" t="inlineStr">
        <is>
          <t>E</t>
        </is>
      </c>
      <c r="I154" t="inlineStr">
        <is>
          <t>9</t>
        </is>
      </c>
      <c r="J154" t="n">
        <v>16</v>
      </c>
      <c r="K154" t="n">
        <v>38</v>
      </c>
      <c r="L154">
        <f>K154-J154</f>
        <v/>
      </c>
      <c r="M154" t="n">
        <v>22</v>
      </c>
      <c r="N154">
        <f>IF(L154&lt;&gt;M154,1,0)</f>
        <v/>
      </c>
      <c r="O154" t="n">
        <v>22</v>
      </c>
      <c r="S154" t="n">
        <v>3</v>
      </c>
      <c r="T154" s="3">
        <f>SUM(O154:S154)</f>
        <v/>
      </c>
      <c r="U154" s="3">
        <f>IF(P154&lt;8,"USTED ESTÁ AL DÍA","USTED NO ESTÁ AL DÍA")</f>
        <v/>
      </c>
      <c r="V154" s="3" t="inlineStr">
        <is>
          <t>PAGO PRESENCIAL:  05/06 de 4-6 pm (LOCAL DEL PUEBLO), PAGO YAPE: 948 227 636</t>
        </is>
      </c>
      <c r="X154" t="n">
        <v>50</v>
      </c>
      <c r="Y154">
        <f>T154+W154+X154</f>
        <v/>
      </c>
    </row>
    <row r="155" hidden="1" ht="15.75" customHeight="1" s="4">
      <c r="A155" s="3" t="n">
        <v>17049</v>
      </c>
      <c r="B155" s="3" t="inlineStr">
        <is>
          <t>11/04/2026 al 10/05/2026</t>
        </is>
      </c>
      <c r="C155" s="2" t="n">
        <v>46179</v>
      </c>
      <c r="D155" s="2" t="n">
        <v>46174</v>
      </c>
      <c r="E155" s="2" t="n">
        <v>46122</v>
      </c>
      <c r="F155" s="2" t="n">
        <v>46152</v>
      </c>
      <c r="G155" t="inlineStr">
        <is>
          <t>GREGORIA SIGUEÑAS UGARTE</t>
        </is>
      </c>
      <c r="H155" t="inlineStr">
        <is>
          <t>E</t>
        </is>
      </c>
      <c r="I155" t="inlineStr">
        <is>
          <t>10</t>
        </is>
      </c>
      <c r="J155" t="n">
        <v>1060</v>
      </c>
      <c r="K155" t="n">
        <v>1084</v>
      </c>
      <c r="L155">
        <f>K155-J155</f>
        <v/>
      </c>
      <c r="M155" t="n">
        <v>24</v>
      </c>
      <c r="N155">
        <f>IF(L155&lt;&gt;M155,1,0)</f>
        <v/>
      </c>
      <c r="O155" t="n">
        <v>24</v>
      </c>
      <c r="S155" t="n">
        <v>3</v>
      </c>
      <c r="T155" s="3">
        <f>SUM(O155:S155)</f>
        <v/>
      </c>
      <c r="U155" s="3">
        <f>IF(P155&lt;8,"USTED ESTÁ AL DÍA","USTED NO ESTÁ AL DÍA")</f>
        <v/>
      </c>
      <c r="V155" s="3" t="inlineStr">
        <is>
          <t>PAGO PRESENCIAL:  05/06 de 4-6 pm (LOCAL DEL PUEBLO), PAGO YAPE: 948 227 636</t>
        </is>
      </c>
      <c r="X155" t="n">
        <v>75</v>
      </c>
      <c r="Y155">
        <f>T155+W155+X155</f>
        <v/>
      </c>
    </row>
    <row r="156" hidden="1" ht="15.75" customHeight="1" s="4">
      <c r="A156" s="3" t="n">
        <v>17050</v>
      </c>
      <c r="B156" s="3" t="inlineStr">
        <is>
          <t>11/04/2026 al 10/05/2026</t>
        </is>
      </c>
      <c r="C156" s="2" t="n">
        <v>46179</v>
      </c>
      <c r="D156" s="2" t="n">
        <v>46174</v>
      </c>
      <c r="E156" s="2" t="n">
        <v>46122</v>
      </c>
      <c r="F156" s="2" t="n">
        <v>46152</v>
      </c>
      <c r="G156" t="inlineStr">
        <is>
          <t>VILMA SIGUEÑAS UGARTE</t>
        </is>
      </c>
      <c r="H156" t="inlineStr">
        <is>
          <t>E</t>
        </is>
      </c>
      <c r="I156" t="inlineStr">
        <is>
          <t>11</t>
        </is>
      </c>
      <c r="J156" t="n">
        <v>4264</v>
      </c>
      <c r="K156" t="n">
        <v>4303</v>
      </c>
      <c r="L156">
        <f>K156-J156</f>
        <v/>
      </c>
      <c r="M156" t="n">
        <v>39</v>
      </c>
      <c r="N156">
        <f>IF(L156&lt;&gt;M156,1,0)</f>
        <v/>
      </c>
      <c r="O156" t="n">
        <v>39</v>
      </c>
      <c r="P156" t="n">
        <v>3</v>
      </c>
      <c r="S156" t="n">
        <v>3</v>
      </c>
      <c r="T156" s="3">
        <f>SUM(O156:S156)</f>
        <v/>
      </c>
      <c r="U156" s="3">
        <f>IF(P156&lt;8,"USTED ESTÁ AL DÍA","USTED NO ESTÁ AL DÍA")</f>
        <v/>
      </c>
      <c r="V156" s="3" t="inlineStr">
        <is>
          <t>PAGO PRESENCIAL:  05/06 de 4-6 pm (LOCAL DEL PUEBLO), PAGO YAPE: 948 227 636</t>
        </is>
      </c>
      <c r="W156" t="n">
        <v>30</v>
      </c>
      <c r="X156" t="n">
        <v>75</v>
      </c>
      <c r="Y156">
        <f>T156+W156+X156</f>
        <v/>
      </c>
    </row>
    <row r="157" hidden="1" ht="15.75" customHeight="1" s="4">
      <c r="A157" s="3" t="n">
        <v>17051</v>
      </c>
      <c r="B157" s="3" t="inlineStr">
        <is>
          <t>11/04/2026 al 10/05/2026</t>
        </is>
      </c>
      <c r="C157" s="2" t="n">
        <v>46179</v>
      </c>
      <c r="D157" s="2" t="n">
        <v>46174</v>
      </c>
      <c r="E157" s="2" t="n">
        <v>46122</v>
      </c>
      <c r="F157" s="2" t="n">
        <v>46152</v>
      </c>
      <c r="G157" t="inlineStr">
        <is>
          <t>TEOFILA FERNANDEZ REYES</t>
        </is>
      </c>
      <c r="H157" t="inlineStr">
        <is>
          <t>E</t>
        </is>
      </c>
      <c r="I157" t="inlineStr">
        <is>
          <t>12</t>
        </is>
      </c>
      <c r="J157" t="n">
        <v>37</v>
      </c>
      <c r="K157" t="n">
        <v>63</v>
      </c>
      <c r="L157">
        <f>K157-J157</f>
        <v/>
      </c>
      <c r="M157" t="n">
        <v>26</v>
      </c>
      <c r="N157">
        <f>IF(L157&lt;&gt;M157,1,0)</f>
        <v/>
      </c>
      <c r="O157" t="n">
        <v>26</v>
      </c>
      <c r="R157" t="n">
        <v>26</v>
      </c>
      <c r="S157" t="n">
        <v>3</v>
      </c>
      <c r="T157" s="3">
        <f>SUM(O157:S157)</f>
        <v/>
      </c>
      <c r="U157" s="3">
        <f>IF(P157&lt;8,"USTED ESTÁ AL DÍA","USTED NO ESTÁ AL DÍA")</f>
        <v/>
      </c>
      <c r="V157" s="3" t="inlineStr">
        <is>
          <t>PAGO PRESENCIAL:  05/06 de 4-6 pm (LOCAL DEL PUEBLO), PAGO YAPE: 948 227 636</t>
        </is>
      </c>
      <c r="X157" t="n">
        <v>50</v>
      </c>
      <c r="Y157">
        <f>T157+W157+X157</f>
        <v/>
      </c>
    </row>
    <row r="158" hidden="1" ht="15.75" customHeight="1" s="4">
      <c r="A158" s="3" t="n">
        <v>17052</v>
      </c>
      <c r="B158" s="3" t="inlineStr">
        <is>
          <t>11/04/2026 al 10/05/2026</t>
        </is>
      </c>
      <c r="C158" s="2" t="n">
        <v>46179</v>
      </c>
      <c r="D158" s="2" t="n">
        <v>46174</v>
      </c>
      <c r="E158" s="2" t="n">
        <v>46122</v>
      </c>
      <c r="F158" s="2" t="n">
        <v>46152</v>
      </c>
      <c r="G158" t="inlineStr">
        <is>
          <t>LINDOLINA MUÑOZ HERMITAÑO</t>
        </is>
      </c>
      <c r="H158" t="inlineStr">
        <is>
          <t>E</t>
        </is>
      </c>
      <c r="I158" t="inlineStr">
        <is>
          <t>13</t>
        </is>
      </c>
      <c r="J158" t="n">
        <v>3118</v>
      </c>
      <c r="K158" t="n">
        <v>3127</v>
      </c>
      <c r="L158">
        <f>K158-J158</f>
        <v/>
      </c>
      <c r="M158" t="n">
        <v>9</v>
      </c>
      <c r="N158">
        <f>IF(L158&lt;&gt;M158,1,0)</f>
        <v/>
      </c>
      <c r="O158" t="n">
        <v>9</v>
      </c>
      <c r="S158" t="n">
        <v>3</v>
      </c>
      <c r="T158" s="3">
        <f>SUM(O158:S158)</f>
        <v/>
      </c>
      <c r="U158" s="3">
        <f>IF(P158&lt;8,"USTED ESTÁ AL DÍA","USTED NO ESTÁ AL DÍA")</f>
        <v/>
      </c>
      <c r="V158" s="3" t="inlineStr">
        <is>
          <t>PAGO PRESENCIAL:  05/06 de 4-6 pm (LOCAL DEL PUEBLO), PAGO YAPE: 948 227 636</t>
        </is>
      </c>
      <c r="W158" t="n">
        <v>30</v>
      </c>
      <c r="X158" t="n">
        <v>50</v>
      </c>
      <c r="Y158">
        <f>T158+W158+X158</f>
        <v/>
      </c>
    </row>
    <row r="159" hidden="1" ht="15.75" customHeight="1" s="4">
      <c r="A159" s="3" t="n">
        <v>17053</v>
      </c>
      <c r="B159" s="3" t="inlineStr">
        <is>
          <t>11/04/2026 al 10/05/2026</t>
        </is>
      </c>
      <c r="C159" s="2" t="n">
        <v>46179</v>
      </c>
      <c r="D159" s="2" t="n">
        <v>46174</v>
      </c>
      <c r="E159" s="2" t="n">
        <v>46122</v>
      </c>
      <c r="F159" s="2" t="n">
        <v>46152</v>
      </c>
      <c r="G159" t="inlineStr">
        <is>
          <t>FELICIANO SIGUEÑAS UGARTE</t>
        </is>
      </c>
      <c r="H159" t="inlineStr">
        <is>
          <t>E</t>
        </is>
      </c>
      <c r="I159" t="inlineStr">
        <is>
          <t>14</t>
        </is>
      </c>
      <c r="J159" t="n">
        <v>86</v>
      </c>
      <c r="K159" t="n">
        <v>97</v>
      </c>
      <c r="L159">
        <f>K159-J159</f>
        <v/>
      </c>
      <c r="M159" t="n">
        <v>11</v>
      </c>
      <c r="N159">
        <f>IF(L159&lt;&gt;M159,1,0)</f>
        <v/>
      </c>
      <c r="O159" t="n">
        <v>11</v>
      </c>
      <c r="S159" t="n">
        <v>3</v>
      </c>
      <c r="T159" s="3">
        <f>SUM(O159:S159)</f>
        <v/>
      </c>
      <c r="U159" s="3">
        <f>IF(P159&lt;8,"USTED ESTÁ AL DÍA","USTED NO ESTÁ AL DÍA")</f>
        <v/>
      </c>
      <c r="V159" s="3" t="inlineStr">
        <is>
          <t>PAGO PRESENCIAL:  05/06 de 4-6 pm (LOCAL DEL PUEBLO), PAGO YAPE: 948 227 636</t>
        </is>
      </c>
      <c r="W159" t="n">
        <v>30</v>
      </c>
      <c r="Y159">
        <f>T159+W159+X159</f>
        <v/>
      </c>
    </row>
    <row r="160" hidden="1" ht="15.75" customHeight="1" s="4">
      <c r="A160" s="3" t="n">
        <v>17054</v>
      </c>
      <c r="B160" s="3" t="inlineStr">
        <is>
          <t>11/04/2026 al 10/05/2026</t>
        </is>
      </c>
      <c r="C160" s="2" t="n">
        <v>46179</v>
      </c>
      <c r="D160" s="2" t="n">
        <v>46174</v>
      </c>
      <c r="E160" s="2" t="n">
        <v>46122</v>
      </c>
      <c r="F160" s="2" t="n">
        <v>46152</v>
      </c>
      <c r="G160" t="inlineStr">
        <is>
          <t>MERCADO TUPAC AMARU</t>
        </is>
      </c>
      <c r="H160" t="inlineStr">
        <is>
          <t>E</t>
        </is>
      </c>
      <c r="I160" t="inlineStr">
        <is>
          <t>19</t>
        </is>
      </c>
      <c r="J160" t="n">
        <v>22</v>
      </c>
      <c r="K160" t="n">
        <v>24</v>
      </c>
      <c r="L160">
        <f>K160-J160</f>
        <v/>
      </c>
      <c r="M160" t="n">
        <v>5</v>
      </c>
      <c r="O160" t="n">
        <v>5</v>
      </c>
      <c r="S160" t="n">
        <v>3</v>
      </c>
      <c r="T160" s="3">
        <f>SUM(O160:S160)</f>
        <v/>
      </c>
      <c r="U160" s="3">
        <f>IF(P160&lt;8,"USTED ESTÁ AL DÍA","USTED NO ESTÁ AL DÍA")</f>
        <v/>
      </c>
      <c r="V160" s="3" t="inlineStr">
        <is>
          <t>PAGO PRESENCIAL:  05/06 de 4-6 pm (LOCAL DEL PUEBLO), PAGO YAPE: 948 227 636</t>
        </is>
      </c>
      <c r="Y160">
        <f>T160+W160+X160</f>
        <v/>
      </c>
    </row>
    <row r="161" hidden="1" ht="15.75" customHeight="1" s="4">
      <c r="A161" s="3" t="n">
        <v>17055</v>
      </c>
      <c r="B161" s="3" t="inlineStr">
        <is>
          <t>11/04/2026 al 10/05/2026</t>
        </is>
      </c>
      <c r="C161" s="2" t="n">
        <v>46179</v>
      </c>
      <c r="D161" s="2" t="n">
        <v>46174</v>
      </c>
      <c r="E161" s="2" t="n">
        <v>46122</v>
      </c>
      <c r="F161" s="2" t="n">
        <v>46152</v>
      </c>
      <c r="G161" t="inlineStr">
        <is>
          <t>JUAN SAAVEDRA SAAVEDRA</t>
        </is>
      </c>
      <c r="H161" t="inlineStr">
        <is>
          <t>E</t>
        </is>
      </c>
      <c r="I161" t="inlineStr">
        <is>
          <t>14 B</t>
        </is>
      </c>
      <c r="J161" t="n">
        <v>343</v>
      </c>
      <c r="K161" t="n">
        <v>351</v>
      </c>
      <c r="L161">
        <f>K161-J161</f>
        <v/>
      </c>
      <c r="M161" t="n">
        <v>8</v>
      </c>
      <c r="N161">
        <f>IF(L161&lt;&gt;M161,1,0)</f>
        <v/>
      </c>
      <c r="O161" t="n">
        <v>8</v>
      </c>
      <c r="S161" t="n">
        <v>3</v>
      </c>
      <c r="T161" s="3">
        <f>SUM(O161:S161)</f>
        <v/>
      </c>
      <c r="U161" s="3">
        <f>IF(P161&lt;8,"USTED ESTÁ AL DÍA","USTED NO ESTÁ AL DÍA")</f>
        <v/>
      </c>
      <c r="V161" s="3" t="inlineStr">
        <is>
          <t>PAGO PRESENCIAL:  05/06 de 4-6 pm (LOCAL DEL PUEBLO), PAGO YAPE: 948 227 636</t>
        </is>
      </c>
      <c r="Y161">
        <f>T161+W161+X161</f>
        <v/>
      </c>
    </row>
    <row r="162" hidden="1" ht="15.75" customHeight="1" s="4">
      <c r="A162" s="3" t="n">
        <v>17056</v>
      </c>
      <c r="B162" s="3" t="inlineStr">
        <is>
          <t>11/04/2026 al 10/05/2026</t>
        </is>
      </c>
      <c r="C162" s="2" t="n">
        <v>46179</v>
      </c>
      <c r="D162" s="2" t="n">
        <v>46174</v>
      </c>
      <c r="E162" s="2" t="n">
        <v>46122</v>
      </c>
      <c r="F162" s="2" t="n">
        <v>46152</v>
      </c>
      <c r="G162" t="inlineStr">
        <is>
          <t>JORGE ROSALES ROMERO</t>
        </is>
      </c>
      <c r="H162" t="inlineStr">
        <is>
          <t>E</t>
        </is>
      </c>
      <c r="I162" t="inlineStr">
        <is>
          <t>2A</t>
        </is>
      </c>
      <c r="L162">
        <f>K162-J162</f>
        <v/>
      </c>
      <c r="S162" t="n">
        <v>0</v>
      </c>
      <c r="T162" s="3">
        <f>SUM(O162:S162)</f>
        <v/>
      </c>
      <c r="U162" s="3">
        <f>IF(P162&lt;8,"USTED ESTÁ AL DÍA","USTED NO ESTÁ AL DÍA")</f>
        <v/>
      </c>
      <c r="V162" s="3" t="inlineStr">
        <is>
          <t>PAGO PRESENCIAL:  05/06 de 4-6 pm (LOCAL DEL PUEBLO), PAGO YAPE: 948 227 636</t>
        </is>
      </c>
      <c r="W162" t="n">
        <v>20</v>
      </c>
      <c r="Y162">
        <f>T162+W162+X162</f>
        <v/>
      </c>
    </row>
    <row r="163" hidden="1" ht="15.75" customHeight="1" s="4">
      <c r="A163" s="3" t="n">
        <v>17057</v>
      </c>
      <c r="B163" s="3" t="inlineStr">
        <is>
          <t>11/04/2026 al 10/05/2026</t>
        </is>
      </c>
      <c r="C163" s="2" t="n">
        <v>46179</v>
      </c>
      <c r="D163" s="2" t="n">
        <v>46174</v>
      </c>
      <c r="E163" s="2" t="n">
        <v>46122</v>
      </c>
      <c r="F163" s="2" t="n">
        <v>46152</v>
      </c>
      <c r="G163" t="inlineStr">
        <is>
          <t>FAUSTINO POMA PALLACA</t>
        </is>
      </c>
      <c r="H163" t="inlineStr">
        <is>
          <t>E</t>
        </is>
      </c>
      <c r="I163" t="inlineStr">
        <is>
          <t>5</t>
        </is>
      </c>
      <c r="L163">
        <f>K163-J163</f>
        <v/>
      </c>
      <c r="S163" t="n">
        <v>0</v>
      </c>
      <c r="T163" s="3">
        <f>SUM(O163:S163)</f>
        <v/>
      </c>
      <c r="U163" s="3">
        <f>IF(P163&lt;8,"USTED ESTÁ AL DÍA","USTED NO ESTÁ AL DÍA")</f>
        <v/>
      </c>
      <c r="V163" s="3" t="inlineStr">
        <is>
          <t>PAGO PRESENCIAL:  05/06 de 4-6 pm (LOCAL DEL PUEBLO), PAGO YAPE: 948 227 636</t>
        </is>
      </c>
      <c r="W163" t="n">
        <v>50</v>
      </c>
      <c r="X163" t="n">
        <v>75</v>
      </c>
      <c r="Y163">
        <f>T163+W163+X163</f>
        <v/>
      </c>
    </row>
    <row r="164" hidden="1" ht="15.75" customHeight="1" s="4">
      <c r="A164" s="3" t="n">
        <v>17058</v>
      </c>
      <c r="B164" s="3" t="inlineStr">
        <is>
          <t>11/04/2026 al 10/05/2026</t>
        </is>
      </c>
      <c r="C164" s="2" t="n">
        <v>46179</v>
      </c>
      <c r="D164" s="2" t="n">
        <v>46174</v>
      </c>
      <c r="E164" s="2" t="n">
        <v>46122</v>
      </c>
      <c r="F164" s="2" t="n">
        <v>46152</v>
      </c>
      <c r="G164" t="inlineStr">
        <is>
          <t>JHONNY SALOMON NIÑO ORTIZ</t>
        </is>
      </c>
      <c r="H164" t="inlineStr">
        <is>
          <t>E1</t>
        </is>
      </c>
      <c r="I164" t="inlineStr">
        <is>
          <t>1</t>
        </is>
      </c>
      <c r="J164" t="n">
        <v>891</v>
      </c>
      <c r="K164" t="n">
        <v>891</v>
      </c>
      <c r="L164">
        <f>K164-J164</f>
        <v/>
      </c>
      <c r="M164" t="n">
        <v>5</v>
      </c>
      <c r="O164" t="n">
        <v>5</v>
      </c>
      <c r="S164" t="n">
        <v>3</v>
      </c>
      <c r="T164" s="3">
        <f>SUM(O164:S164)</f>
        <v/>
      </c>
      <c r="U164" s="3">
        <f>IF(P164&lt;8,"USTED ESTÁ AL DÍA","USTED NO ESTÁ AL DÍA")</f>
        <v/>
      </c>
      <c r="V164" s="3" t="inlineStr">
        <is>
          <t>PAGO PRESENCIAL:  05/06 de 4-6 pm (LOCAL DEL PUEBLO), PAGO YAPE: 948 227 636</t>
        </is>
      </c>
      <c r="W164" t="n">
        <v>0</v>
      </c>
      <c r="Y164">
        <f>T164+W164+X164</f>
        <v/>
      </c>
    </row>
    <row r="165" hidden="1" ht="15.75" customHeight="1" s="4">
      <c r="A165" s="3" t="n">
        <v>17059</v>
      </c>
      <c r="B165" s="3" t="inlineStr">
        <is>
          <t>11/04/2026 al 10/05/2026</t>
        </is>
      </c>
      <c r="C165" s="2" t="n">
        <v>46179</v>
      </c>
      <c r="D165" s="2" t="n">
        <v>46174</v>
      </c>
      <c r="E165" s="2" t="n">
        <v>46122</v>
      </c>
      <c r="F165" s="2" t="n">
        <v>46152</v>
      </c>
      <c r="G165" t="inlineStr">
        <is>
          <t>KAREN JAIMES TRUJILLO</t>
        </is>
      </c>
      <c r="H165" t="inlineStr">
        <is>
          <t>E1</t>
        </is>
      </c>
      <c r="I165" t="inlineStr">
        <is>
          <t>3</t>
        </is>
      </c>
      <c r="J165" t="n">
        <v>82</v>
      </c>
      <c r="K165" t="n">
        <v>88</v>
      </c>
      <c r="L165">
        <f>K165-J165</f>
        <v/>
      </c>
      <c r="M165" t="n">
        <v>6</v>
      </c>
      <c r="N165">
        <f>IF(L165&lt;&gt;M165,1,0)</f>
        <v/>
      </c>
      <c r="O165" t="n">
        <v>6</v>
      </c>
      <c r="S165" t="n">
        <v>3</v>
      </c>
      <c r="T165" s="3">
        <f>SUM(O165:S165)</f>
        <v/>
      </c>
      <c r="U165" s="3">
        <f>IF(P165&lt;8,"USTED ESTÁ AL DÍA","USTED NO ESTÁ AL DÍA")</f>
        <v/>
      </c>
      <c r="V165" s="3" t="inlineStr">
        <is>
          <t>PAGO PRESENCIAL:  05/06 de 4-6 pm (LOCAL DEL PUEBLO), PAGO YAPE: 948 227 636</t>
        </is>
      </c>
      <c r="W165" t="n">
        <v>50</v>
      </c>
      <c r="X165" t="n">
        <v>75</v>
      </c>
      <c r="Y165">
        <f>T165+W165+X165</f>
        <v/>
      </c>
    </row>
    <row r="166" hidden="1" ht="15.75" customHeight="1" s="4">
      <c r="A166" s="3" t="n">
        <v>17060</v>
      </c>
      <c r="B166" s="3" t="inlineStr">
        <is>
          <t>11/04/2026 al 10/05/2026</t>
        </is>
      </c>
      <c r="C166" s="2" t="n">
        <v>46179</v>
      </c>
      <c r="D166" s="2" t="n">
        <v>46174</v>
      </c>
      <c r="E166" s="2" t="n">
        <v>46122</v>
      </c>
      <c r="F166" s="2" t="n">
        <v>46152</v>
      </c>
      <c r="G166" t="inlineStr">
        <is>
          <t>MARIA SEGURA MELCHOR</t>
        </is>
      </c>
      <c r="H166" t="inlineStr">
        <is>
          <t>E1</t>
        </is>
      </c>
      <c r="I166" t="inlineStr">
        <is>
          <t>4</t>
        </is>
      </c>
      <c r="J166" t="n">
        <v>1018</v>
      </c>
      <c r="K166" t="n">
        <v>1019</v>
      </c>
      <c r="L166">
        <f>K166-J166</f>
        <v/>
      </c>
      <c r="M166" t="n">
        <v>5</v>
      </c>
      <c r="O166" t="n">
        <v>5</v>
      </c>
      <c r="S166" t="n">
        <v>3</v>
      </c>
      <c r="T166" s="3">
        <f>SUM(O166:S166)</f>
        <v/>
      </c>
      <c r="U166" s="3">
        <f>IF(P166&lt;8,"USTED ESTÁ AL DÍA","USTED NO ESTÁ AL DÍA")</f>
        <v/>
      </c>
      <c r="V166" s="3" t="inlineStr">
        <is>
          <t>PAGO PRESENCIAL:  05/06 de 4-6 pm (LOCAL DEL PUEBLO), PAGO YAPE: 948 227 636</t>
        </is>
      </c>
      <c r="W166" t="n">
        <v>20</v>
      </c>
      <c r="Y166">
        <f>T166+W166+X166</f>
        <v/>
      </c>
    </row>
    <row r="167" hidden="1" ht="15.75" customHeight="1" s="4">
      <c r="A167" s="3" t="n">
        <v>17061</v>
      </c>
      <c r="B167" s="3" t="inlineStr">
        <is>
          <t>11/04/2026 al 10/05/2026</t>
        </is>
      </c>
      <c r="C167" s="2" t="n">
        <v>46179</v>
      </c>
      <c r="D167" s="2" t="n">
        <v>46174</v>
      </c>
      <c r="E167" s="2" t="n">
        <v>46122</v>
      </c>
      <c r="F167" s="2" t="n">
        <v>46152</v>
      </c>
      <c r="G167" t="inlineStr">
        <is>
          <t>NOEMI CADILLO ROJAS</t>
        </is>
      </c>
      <c r="H167" t="inlineStr">
        <is>
          <t>E1</t>
        </is>
      </c>
      <c r="I167" t="inlineStr">
        <is>
          <t>7</t>
        </is>
      </c>
      <c r="J167" t="n">
        <v>326</v>
      </c>
      <c r="K167" t="n">
        <v>337</v>
      </c>
      <c r="L167">
        <f>K167-J167</f>
        <v/>
      </c>
      <c r="M167" t="n">
        <v>11</v>
      </c>
      <c r="N167">
        <f>IF(L167&lt;&gt;M167,1,0)</f>
        <v/>
      </c>
      <c r="O167" t="n">
        <v>11</v>
      </c>
      <c r="S167" t="n">
        <v>3</v>
      </c>
      <c r="T167" s="3">
        <f>SUM(O167:S167)</f>
        <v/>
      </c>
      <c r="U167" s="3">
        <f>IF(P167&lt;8,"USTED ESTÁ AL DÍA","USTED NO ESTÁ AL DÍA")</f>
        <v/>
      </c>
      <c r="V167" s="3" t="inlineStr">
        <is>
          <t>PAGO PRESENCIAL:  05/06 de 4-6 pm (LOCAL DEL PUEBLO), PAGO YAPE: 948 227 636</t>
        </is>
      </c>
      <c r="W167" t="n">
        <v>30</v>
      </c>
      <c r="Y167">
        <f>T167+W167+X167</f>
        <v/>
      </c>
    </row>
    <row r="168" hidden="1" ht="15.75" customHeight="1" s="4">
      <c r="A168" s="3" t="n">
        <v>17062</v>
      </c>
      <c r="B168" s="3" t="inlineStr">
        <is>
          <t>11/04/2026 al 10/05/2026</t>
        </is>
      </c>
      <c r="C168" s="2" t="n">
        <v>46179</v>
      </c>
      <c r="D168" s="2" t="n">
        <v>46174</v>
      </c>
      <c r="E168" s="2" t="n">
        <v>46122</v>
      </c>
      <c r="F168" s="2" t="n">
        <v>46152</v>
      </c>
      <c r="G168" t="inlineStr">
        <is>
          <t>JULIO VEGA CERDA</t>
        </is>
      </c>
      <c r="H168" t="inlineStr">
        <is>
          <t>E1</t>
        </is>
      </c>
      <c r="I168" t="inlineStr">
        <is>
          <t>8</t>
        </is>
      </c>
      <c r="J168" t="n">
        <v>368</v>
      </c>
      <c r="K168" t="n">
        <v>374</v>
      </c>
      <c r="L168">
        <f>K168-J168</f>
        <v/>
      </c>
      <c r="M168" t="n">
        <v>6</v>
      </c>
      <c r="N168">
        <f>IF(L168&lt;&gt;M168,1,0)</f>
        <v/>
      </c>
      <c r="O168" t="n">
        <v>6</v>
      </c>
      <c r="S168" t="n">
        <v>3</v>
      </c>
      <c r="T168" s="3">
        <f>SUM(O168:S168)</f>
        <v/>
      </c>
      <c r="U168" s="3">
        <f>IF(P168&lt;8,"USTED ESTÁ AL DÍA","USTED NO ESTÁ AL DÍA")</f>
        <v/>
      </c>
      <c r="V168" s="3" t="inlineStr">
        <is>
          <t>PAGO PRESENCIAL:  05/06 de 4-6 pm (LOCAL DEL PUEBLO), PAGO YAPE: 948 227 636</t>
        </is>
      </c>
      <c r="W168" t="n">
        <v>0</v>
      </c>
      <c r="Y168">
        <f>T168+W168+X168</f>
        <v/>
      </c>
    </row>
    <row r="169" hidden="1" ht="15.75" customHeight="1" s="4">
      <c r="A169" s="3" t="n">
        <v>17063</v>
      </c>
      <c r="B169" s="3" t="inlineStr">
        <is>
          <t>11/04/2026 al 10/05/2026</t>
        </is>
      </c>
      <c r="C169" s="2" t="n">
        <v>46179</v>
      </c>
      <c r="D169" s="2" t="n">
        <v>46174</v>
      </c>
      <c r="E169" s="2" t="n">
        <v>46122</v>
      </c>
      <c r="F169" s="2" t="n">
        <v>46152</v>
      </c>
      <c r="G169" t="inlineStr">
        <is>
          <t>SONIA ÑAÑAC</t>
        </is>
      </c>
      <c r="H169" t="inlineStr">
        <is>
          <t>E1</t>
        </is>
      </c>
      <c r="I169" t="inlineStr">
        <is>
          <t>9</t>
        </is>
      </c>
      <c r="J169" t="n">
        <v>75</v>
      </c>
      <c r="K169" t="n">
        <v>83</v>
      </c>
      <c r="L169">
        <f>K169-J169</f>
        <v/>
      </c>
      <c r="M169" t="n">
        <v>8</v>
      </c>
      <c r="N169">
        <f>IF(L169&lt;&gt;M169,1,0)</f>
        <v/>
      </c>
      <c r="O169" t="n">
        <v>8</v>
      </c>
      <c r="S169" t="n">
        <v>3</v>
      </c>
      <c r="T169" s="3">
        <f>SUM(O169:S169)</f>
        <v/>
      </c>
      <c r="U169" s="3">
        <f>IF(P169&lt;8,"USTED ESTÁ AL DÍA","USTED NO ESTÁ AL DÍA")</f>
        <v/>
      </c>
      <c r="V169" s="3" t="inlineStr">
        <is>
          <t>PAGO PRESENCIAL:  05/06 de 4-6 pm (LOCAL DEL PUEBLO), PAGO YAPE: 948 227 636</t>
        </is>
      </c>
      <c r="W169" t="n">
        <v>30</v>
      </c>
      <c r="Y169">
        <f>T169+W169+X169</f>
        <v/>
      </c>
    </row>
    <row r="170" hidden="1" ht="15.75" customHeight="1" s="4">
      <c r="A170" s="3" t="n">
        <v>17064</v>
      </c>
      <c r="B170" s="3" t="inlineStr">
        <is>
          <t>11/04/2026 al 10/05/2026</t>
        </is>
      </c>
      <c r="C170" s="2" t="n">
        <v>46179</v>
      </c>
      <c r="D170" s="2" t="n">
        <v>46174</v>
      </c>
      <c r="E170" s="2" t="n">
        <v>46122</v>
      </c>
      <c r="F170" s="2" t="n">
        <v>46152</v>
      </c>
      <c r="G170" t="inlineStr">
        <is>
          <t>JUAN ENCARNACION RACACHA</t>
        </is>
      </c>
      <c r="H170" t="inlineStr">
        <is>
          <t>E1</t>
        </is>
      </c>
      <c r="I170" t="inlineStr">
        <is>
          <t>6</t>
        </is>
      </c>
      <c r="J170" t="n">
        <v>0</v>
      </c>
      <c r="K170" t="n">
        <v>0</v>
      </c>
      <c r="L170">
        <f>K170-J170</f>
        <v/>
      </c>
      <c r="M170" t="n">
        <v>5</v>
      </c>
      <c r="O170" t="n">
        <v>5</v>
      </c>
      <c r="P170" t="n">
        <v>16</v>
      </c>
      <c r="Q170" t="n">
        <v>40</v>
      </c>
      <c r="S170" t="n">
        <v>3</v>
      </c>
      <c r="T170" s="3">
        <f>SUM(O170:S170)</f>
        <v/>
      </c>
      <c r="U170" s="3">
        <f>IF(P170&lt;8,"USTED ESTÁ AL DÍA","USTED NO ESTÁ AL DÍA")</f>
        <v/>
      </c>
      <c r="V170" s="3" t="inlineStr">
        <is>
          <t>PAGO PRESENCIAL:  05/06 de 4-6 pm (LOCAL DEL PUEBLO), PAGO YAPE: 948 227 636</t>
        </is>
      </c>
      <c r="W170" t="n">
        <v>30</v>
      </c>
      <c r="Y170">
        <f>T170+W170+X170</f>
        <v/>
      </c>
    </row>
    <row r="171" hidden="1" ht="15.75" customHeight="1" s="4">
      <c r="A171" s="3" t="n">
        <v>17065</v>
      </c>
      <c r="B171" s="3" t="inlineStr">
        <is>
          <t>11/04/2026 al 10/05/2026</t>
        </is>
      </c>
      <c r="C171" s="2" t="n">
        <v>46179</v>
      </c>
      <c r="D171" s="2" t="n">
        <v>46174</v>
      </c>
      <c r="E171" s="2" t="n">
        <v>46122</v>
      </c>
      <c r="F171" s="2" t="n">
        <v>46152</v>
      </c>
      <c r="G171" t="inlineStr">
        <is>
          <t>RENEE MEDRANO MALLMA</t>
        </is>
      </c>
      <c r="H171" t="inlineStr">
        <is>
          <t>E1</t>
        </is>
      </c>
      <c r="I171" t="inlineStr">
        <is>
          <t>2</t>
        </is>
      </c>
      <c r="L171">
        <f>K171-J171</f>
        <v/>
      </c>
      <c r="S171" t="n">
        <v>0</v>
      </c>
      <c r="T171" s="3">
        <f>SUM(O171:S171)</f>
        <v/>
      </c>
      <c r="U171" s="3">
        <f>IF(P171&lt;8,"USTED ESTÁ AL DÍA","USTED NO ESTÁ AL DÍA")</f>
        <v/>
      </c>
      <c r="V171" s="3" t="inlineStr">
        <is>
          <t>PAGO PRESENCIAL:  05/06 de 4-6 pm (LOCAL DEL PUEBLO), PAGO YAPE: 948 227 636</t>
        </is>
      </c>
      <c r="W171" t="n">
        <v>50</v>
      </c>
      <c r="X171" t="n">
        <v>50</v>
      </c>
      <c r="Y171">
        <f>T171+W171+X171</f>
        <v/>
      </c>
    </row>
    <row r="172" hidden="1" ht="15.75" customHeight="1" s="4">
      <c r="A172" s="3" t="n">
        <v>17066</v>
      </c>
      <c r="B172" s="3" t="inlineStr">
        <is>
          <t>11/04/2026 al 10/05/2026</t>
        </is>
      </c>
      <c r="C172" s="2" t="n">
        <v>46179</v>
      </c>
      <c r="D172" s="2" t="n">
        <v>46174</v>
      </c>
      <c r="E172" s="2" t="n">
        <v>46122</v>
      </c>
      <c r="F172" s="2" t="n">
        <v>46152</v>
      </c>
      <c r="G172" t="inlineStr">
        <is>
          <t>AREA COMUNAL DEL PUEBLO</t>
        </is>
      </c>
      <c r="H172" t="inlineStr">
        <is>
          <t>E1</t>
        </is>
      </c>
      <c r="I172" t="inlineStr">
        <is>
          <t>5</t>
        </is>
      </c>
      <c r="L172">
        <f>K172-J172</f>
        <v/>
      </c>
      <c r="S172" t="n">
        <v>0</v>
      </c>
      <c r="T172" s="3">
        <f>SUM(O172:S172)</f>
        <v/>
      </c>
      <c r="U172" s="3">
        <f>IF(P172&lt;8,"USTED ESTÁ AL DÍA","USTED NO ESTÁ AL DÍA")</f>
        <v/>
      </c>
      <c r="V172" s="3" t="inlineStr">
        <is>
          <t>PAGO PRESENCIAL:  05/06 de 4-6 pm (LOCAL DEL PUEBLO), PAGO YAPE: 948 227 636</t>
        </is>
      </c>
      <c r="Y172">
        <f>T172+W172+X172</f>
        <v/>
      </c>
    </row>
    <row r="173" hidden="1" ht="15.75" customHeight="1" s="4">
      <c r="A173" s="3" t="n">
        <v>17067</v>
      </c>
      <c r="B173" s="3" t="inlineStr">
        <is>
          <t>11/04/2026 al 10/05/2026</t>
        </is>
      </c>
      <c r="C173" s="2" t="n">
        <v>46179</v>
      </c>
      <c r="D173" s="2" t="n">
        <v>46174</v>
      </c>
      <c r="E173" s="2" t="n">
        <v>46122</v>
      </c>
      <c r="F173" s="2" t="n">
        <v>46152</v>
      </c>
      <c r="G173" t="inlineStr">
        <is>
          <t>CAMILA DELGADO VEGA</t>
        </is>
      </c>
      <c r="H173" t="inlineStr">
        <is>
          <t>F</t>
        </is>
      </c>
      <c r="I173" t="inlineStr">
        <is>
          <t>3</t>
        </is>
      </c>
      <c r="J173" t="n">
        <v>4</v>
      </c>
      <c r="K173" t="n">
        <v>4</v>
      </c>
      <c r="L173">
        <f>K173-J173</f>
        <v/>
      </c>
      <c r="M173" t="n">
        <v>5</v>
      </c>
      <c r="O173" t="n">
        <v>5</v>
      </c>
      <c r="P173" t="n">
        <v>8</v>
      </c>
      <c r="S173" t="n">
        <v>3</v>
      </c>
      <c r="T173" s="3">
        <f>SUM(O173:S173)</f>
        <v/>
      </c>
      <c r="U173" s="3">
        <f>IF(P173&lt;8,"USTED ESTÁ AL DÍA","USTED NO ESTÁ AL DÍA")</f>
        <v/>
      </c>
      <c r="V173" s="3" t="inlineStr">
        <is>
          <t>PAGO PRESENCIAL:  05/06 de 4-6 pm (LOCAL DEL PUEBLO), PAGO YAPE: 948 227 636</t>
        </is>
      </c>
      <c r="X173" t="n">
        <v>50</v>
      </c>
      <c r="Y173">
        <f>T173+W173+X173</f>
        <v/>
      </c>
    </row>
    <row r="174" hidden="1" ht="15.75" customHeight="1" s="4">
      <c r="A174" s="3" t="n">
        <v>17068</v>
      </c>
      <c r="B174" s="3" t="inlineStr">
        <is>
          <t>11/04/2026 al 10/05/2026</t>
        </is>
      </c>
      <c r="C174" s="2" t="n">
        <v>46179</v>
      </c>
      <c r="D174" s="2" t="n">
        <v>46174</v>
      </c>
      <c r="E174" s="2" t="n">
        <v>46122</v>
      </c>
      <c r="F174" s="2" t="n">
        <v>46152</v>
      </c>
      <c r="G174" t="inlineStr">
        <is>
          <t>DARIO OCTAVIO VEGA JULCA</t>
        </is>
      </c>
      <c r="H174" t="inlineStr">
        <is>
          <t>F</t>
        </is>
      </c>
      <c r="I174" t="inlineStr">
        <is>
          <t>12</t>
        </is>
      </c>
      <c r="J174" t="n">
        <v>2</v>
      </c>
      <c r="K174" t="n">
        <v>6</v>
      </c>
      <c r="L174">
        <f>K174-J174</f>
        <v/>
      </c>
      <c r="M174" t="n">
        <v>5</v>
      </c>
      <c r="O174" t="n">
        <v>5</v>
      </c>
      <c r="P174" t="n">
        <v>8</v>
      </c>
      <c r="R174" t="n">
        <v>25</v>
      </c>
      <c r="S174" t="n">
        <v>3</v>
      </c>
      <c r="T174" s="3">
        <f>SUM(O174:S174)</f>
        <v/>
      </c>
      <c r="U174" s="3">
        <f>IF(P174&lt;8,"USTED ESTÁ AL DÍA","USTED NO ESTÁ AL DÍA")</f>
        <v/>
      </c>
      <c r="V174" s="3" t="inlineStr">
        <is>
          <t>PAGO PRESENCIAL:  05/06 de 4-6 pm (LOCAL DEL PUEBLO), PAGO YAPE: 948 227 636</t>
        </is>
      </c>
      <c r="W174" t="n">
        <v>50</v>
      </c>
      <c r="X174" t="n">
        <v>50</v>
      </c>
      <c r="Y174">
        <f>T174+W174+X174</f>
        <v/>
      </c>
    </row>
    <row r="175" hidden="1" ht="15.75" customHeight="1" s="4">
      <c r="A175" s="3" t="n">
        <v>17069</v>
      </c>
      <c r="B175" s="3" t="inlineStr">
        <is>
          <t>11/04/2026 al 10/05/2026</t>
        </is>
      </c>
      <c r="C175" s="2" t="n">
        <v>46179</v>
      </c>
      <c r="D175" s="2" t="n">
        <v>46174</v>
      </c>
      <c r="E175" s="2" t="n">
        <v>46122</v>
      </c>
      <c r="F175" s="2" t="n">
        <v>46152</v>
      </c>
      <c r="G175" t="inlineStr">
        <is>
          <t>DARIO SAENZ MURPHY</t>
        </is>
      </c>
      <c r="H175" t="inlineStr">
        <is>
          <t>F</t>
        </is>
      </c>
      <c r="I175" t="inlineStr">
        <is>
          <t>13</t>
        </is>
      </c>
      <c r="J175" t="n">
        <v>742</v>
      </c>
      <c r="K175" t="n">
        <v>751</v>
      </c>
      <c r="L175">
        <f>K175-J175</f>
        <v/>
      </c>
      <c r="M175" t="n">
        <v>9</v>
      </c>
      <c r="N175">
        <f>IF(L175&lt;&gt;M175,1,0)</f>
        <v/>
      </c>
      <c r="O175" t="n">
        <v>9</v>
      </c>
      <c r="P175" t="n">
        <v>13</v>
      </c>
      <c r="S175" t="n">
        <v>3</v>
      </c>
      <c r="T175" s="3">
        <f>SUM(O175:S175)</f>
        <v/>
      </c>
      <c r="U175" s="3">
        <f>IF(P175&lt;8,"USTED ESTÁ AL DÍA","USTED NO ESTÁ AL DÍA")</f>
        <v/>
      </c>
      <c r="V175" s="3" t="inlineStr">
        <is>
          <t>PAGO PRESENCIAL:  05/06 de 4-6 pm (LOCAL DEL PUEBLO), PAGO YAPE: 948 227 636</t>
        </is>
      </c>
      <c r="W175" t="n">
        <v>30</v>
      </c>
      <c r="Y175">
        <f>T175+W175+X175</f>
        <v/>
      </c>
    </row>
    <row r="176" hidden="1" ht="15.75" customHeight="1" s="4">
      <c r="A176" s="3" t="n">
        <v>17070</v>
      </c>
      <c r="B176" s="3" t="inlineStr">
        <is>
          <t>11/04/2026 al 10/05/2026</t>
        </is>
      </c>
      <c r="C176" s="2" t="n">
        <v>46179</v>
      </c>
      <c r="D176" s="2" t="n">
        <v>46174</v>
      </c>
      <c r="E176" s="2" t="n">
        <v>46122</v>
      </c>
      <c r="F176" s="2" t="n">
        <v>46152</v>
      </c>
      <c r="G176" t="inlineStr">
        <is>
          <t>MARIA GODO SIFUENTES</t>
        </is>
      </c>
      <c r="H176" t="inlineStr">
        <is>
          <t>F</t>
        </is>
      </c>
      <c r="I176" t="inlineStr">
        <is>
          <t>1</t>
        </is>
      </c>
      <c r="J176" t="n">
        <v>847</v>
      </c>
      <c r="K176" t="n">
        <v>865</v>
      </c>
      <c r="L176">
        <f>K176-J176</f>
        <v/>
      </c>
      <c r="M176" t="n">
        <v>18</v>
      </c>
      <c r="N176">
        <f>IF(L176&lt;&gt;M176,1,0)</f>
        <v/>
      </c>
      <c r="O176" t="n">
        <v>18</v>
      </c>
      <c r="S176" t="n">
        <v>3</v>
      </c>
      <c r="T176" s="3">
        <f>SUM(O176:S176)</f>
        <v/>
      </c>
      <c r="U176" s="3">
        <f>IF(P176&lt;8,"USTED ESTÁ AL DÍA","USTED NO ESTÁ AL DÍA")</f>
        <v/>
      </c>
      <c r="V176" s="3" t="inlineStr">
        <is>
          <t>PAGO PRESENCIAL:  05/06 de 4-6 pm (LOCAL DEL PUEBLO), PAGO YAPE: 948 227 636</t>
        </is>
      </c>
      <c r="W176" t="n">
        <v>20</v>
      </c>
      <c r="Y176">
        <f>T176+W176+X176</f>
        <v/>
      </c>
    </row>
    <row r="177" hidden="1" ht="15.75" customHeight="1" s="4">
      <c r="A177" s="3" t="n">
        <v>17071</v>
      </c>
      <c r="B177" s="3" t="inlineStr">
        <is>
          <t>11/04/2026 al 10/05/2026</t>
        </is>
      </c>
      <c r="C177" s="2" t="n">
        <v>46179</v>
      </c>
      <c r="D177" s="2" t="n">
        <v>46174</v>
      </c>
      <c r="E177" s="2" t="n">
        <v>46122</v>
      </c>
      <c r="F177" s="2" t="n">
        <v>46152</v>
      </c>
      <c r="G177" t="inlineStr">
        <is>
          <t>TOLENTINO JULCA MORENO</t>
        </is>
      </c>
      <c r="H177" t="inlineStr">
        <is>
          <t>F</t>
        </is>
      </c>
      <c r="I177" t="inlineStr">
        <is>
          <t>4</t>
        </is>
      </c>
      <c r="J177" t="n">
        <v>737</v>
      </c>
      <c r="K177" t="n">
        <v>755</v>
      </c>
      <c r="L177">
        <f>K177-J177</f>
        <v/>
      </c>
      <c r="M177" t="n">
        <v>18</v>
      </c>
      <c r="N177">
        <f>IF(L177&lt;&gt;M177,1,0)</f>
        <v/>
      </c>
      <c r="O177" t="n">
        <v>18</v>
      </c>
      <c r="S177" t="n">
        <v>3</v>
      </c>
      <c r="T177" s="3">
        <f>SUM(O177:S177)</f>
        <v/>
      </c>
      <c r="U177" s="3">
        <f>IF(P177&lt;8,"USTED ESTÁ AL DÍA","USTED NO ESTÁ AL DÍA")</f>
        <v/>
      </c>
      <c r="V177" s="3" t="inlineStr">
        <is>
          <t>PAGO PRESENCIAL:  05/06 de 4-6 pm (LOCAL DEL PUEBLO), PAGO YAPE: 948 227 636</t>
        </is>
      </c>
      <c r="W177" t="n">
        <v>50</v>
      </c>
      <c r="X177" t="n">
        <v>75</v>
      </c>
      <c r="Y177">
        <f>T177+W177+X177</f>
        <v/>
      </c>
    </row>
    <row r="178" hidden="1" ht="15.75" customHeight="1" s="4">
      <c r="A178" s="3" t="n">
        <v>17072</v>
      </c>
      <c r="B178" s="3" t="inlineStr">
        <is>
          <t>11/04/2026 al 10/05/2026</t>
        </is>
      </c>
      <c r="C178" s="2" t="n">
        <v>46179</v>
      </c>
      <c r="D178" s="2" t="n">
        <v>46174</v>
      </c>
      <c r="E178" s="2" t="n">
        <v>46122</v>
      </c>
      <c r="F178" s="2" t="n">
        <v>46152</v>
      </c>
      <c r="G178" t="inlineStr">
        <is>
          <t>TEOFILO AYALA GASPAR</t>
        </is>
      </c>
      <c r="H178" t="inlineStr">
        <is>
          <t>F</t>
        </is>
      </c>
      <c r="I178" t="inlineStr">
        <is>
          <t>5</t>
        </is>
      </c>
      <c r="J178" t="n">
        <v>2269</v>
      </c>
      <c r="K178" t="n">
        <v>2305</v>
      </c>
      <c r="L178">
        <f>K178-J178</f>
        <v/>
      </c>
      <c r="M178" t="n">
        <v>36</v>
      </c>
      <c r="N178">
        <f>IF(L178&lt;&gt;M178,1,0)</f>
        <v/>
      </c>
      <c r="O178" t="n">
        <v>36</v>
      </c>
      <c r="S178" t="n">
        <v>3</v>
      </c>
      <c r="T178" s="3">
        <f>SUM(O178:S178)</f>
        <v/>
      </c>
      <c r="U178" s="3">
        <f>IF(P178&lt;8,"USTED ESTÁ AL DÍA","USTED NO ESTÁ AL DÍA")</f>
        <v/>
      </c>
      <c r="V178" s="3" t="inlineStr">
        <is>
          <t>PAGO PRESENCIAL:  05/06 de 4-6 pm (LOCAL DEL PUEBLO), PAGO YAPE: 948 227 636</t>
        </is>
      </c>
      <c r="W178" t="n">
        <v>30</v>
      </c>
      <c r="Y178">
        <f>T178+W178+X178</f>
        <v/>
      </c>
    </row>
    <row r="179" hidden="1" ht="15.75" customHeight="1" s="4">
      <c r="A179" s="3" t="n">
        <v>17073</v>
      </c>
      <c r="B179" s="3" t="inlineStr">
        <is>
          <t>11/04/2026 al 10/05/2026</t>
        </is>
      </c>
      <c r="C179" s="2" t="n">
        <v>46179</v>
      </c>
      <c r="D179" s="2" t="n">
        <v>46174</v>
      </c>
      <c r="E179" s="2" t="n">
        <v>46122</v>
      </c>
      <c r="F179" s="2" t="n">
        <v>46152</v>
      </c>
      <c r="G179" t="inlineStr">
        <is>
          <t>ALBERTO TARAZONA CALDAS</t>
        </is>
      </c>
      <c r="H179" t="inlineStr">
        <is>
          <t>F</t>
        </is>
      </c>
      <c r="I179" t="inlineStr">
        <is>
          <t>6</t>
        </is>
      </c>
      <c r="J179" t="n">
        <v>34</v>
      </c>
      <c r="K179" t="n">
        <v>41</v>
      </c>
      <c r="L179">
        <f>K179-J179</f>
        <v/>
      </c>
      <c r="M179" t="n">
        <v>7</v>
      </c>
      <c r="N179">
        <f>IF(L179&lt;&gt;M179,1,0)</f>
        <v/>
      </c>
      <c r="O179" t="n">
        <v>7</v>
      </c>
      <c r="R179" t="n">
        <v>25</v>
      </c>
      <c r="S179" t="n">
        <v>3</v>
      </c>
      <c r="T179" s="3">
        <f>SUM(O179:S179)</f>
        <v/>
      </c>
      <c r="U179" s="3">
        <f>IF(P179&lt;8,"USTED ESTÁ AL DÍA","USTED NO ESTÁ AL DÍA")</f>
        <v/>
      </c>
      <c r="V179" s="3" t="inlineStr">
        <is>
          <t>PAGO PRESENCIAL:  05/06 de 4-6 pm (LOCAL DEL PUEBLO), PAGO YAPE: 948 227 636</t>
        </is>
      </c>
      <c r="X179" t="n">
        <v>75</v>
      </c>
      <c r="Y179">
        <f>T179+W179+X179</f>
        <v/>
      </c>
    </row>
    <row r="180" hidden="1" ht="15.75" customHeight="1" s="4">
      <c r="A180" s="3" t="n">
        <v>17074</v>
      </c>
      <c r="B180" s="3" t="inlineStr">
        <is>
          <t>11/04/2026 al 10/05/2026</t>
        </is>
      </c>
      <c r="C180" s="2" t="n">
        <v>46179</v>
      </c>
      <c r="D180" s="2" t="n">
        <v>46174</v>
      </c>
      <c r="E180" s="2" t="n">
        <v>46122</v>
      </c>
      <c r="F180" s="2" t="n">
        <v>46152</v>
      </c>
      <c r="G180" t="inlineStr">
        <is>
          <t>VICTOR LAURENCIO VALLADARES</t>
        </is>
      </c>
      <c r="H180" t="inlineStr">
        <is>
          <t>F</t>
        </is>
      </c>
      <c r="I180" t="inlineStr">
        <is>
          <t>7</t>
        </is>
      </c>
      <c r="J180" t="n">
        <v>201</v>
      </c>
      <c r="K180" t="n">
        <v>258</v>
      </c>
      <c r="L180">
        <f>K180-J180</f>
        <v/>
      </c>
      <c r="M180" t="n">
        <v>57</v>
      </c>
      <c r="N180">
        <f>IF(L180&lt;&gt;M180,1,0)</f>
        <v/>
      </c>
      <c r="O180" t="n">
        <v>57</v>
      </c>
      <c r="R180" t="n">
        <v>25</v>
      </c>
      <c r="S180" t="n">
        <v>3</v>
      </c>
      <c r="T180" s="3">
        <f>SUM(O180:S180)</f>
        <v/>
      </c>
      <c r="U180" s="3">
        <f>IF(P180&lt;8,"USTED ESTÁ AL DÍA","USTED NO ESTÁ AL DÍA")</f>
        <v/>
      </c>
      <c r="V180" s="3" t="inlineStr">
        <is>
          <t>PAGO PRESENCIAL:  05/06 de 4-6 pm (LOCAL DEL PUEBLO), PAGO YAPE: 948 227 636</t>
        </is>
      </c>
      <c r="W180" t="n">
        <v>20</v>
      </c>
      <c r="X180" t="n">
        <v>50</v>
      </c>
      <c r="Y180">
        <f>T180+W180+X180</f>
        <v/>
      </c>
    </row>
    <row r="181" hidden="1" ht="15.75" customHeight="1" s="4">
      <c r="A181" s="3" t="n">
        <v>17075</v>
      </c>
      <c r="B181" s="3" t="inlineStr">
        <is>
          <t>11/04/2026 al 10/05/2026</t>
        </is>
      </c>
      <c r="C181" s="2" t="n">
        <v>46179</v>
      </c>
      <c r="D181" s="2" t="n">
        <v>46174</v>
      </c>
      <c r="E181" s="2" t="n">
        <v>46122</v>
      </c>
      <c r="F181" s="2" t="n">
        <v>46152</v>
      </c>
      <c r="G181" t="inlineStr">
        <is>
          <t>GUDELIA ELIZABETH MIRANDA VEGA</t>
        </is>
      </c>
      <c r="H181" t="inlineStr">
        <is>
          <t>F</t>
        </is>
      </c>
      <c r="I181" t="inlineStr">
        <is>
          <t>8</t>
        </is>
      </c>
      <c r="J181" t="n">
        <v>26</v>
      </c>
      <c r="K181" t="n">
        <v>35</v>
      </c>
      <c r="L181">
        <f>K181-J181</f>
        <v/>
      </c>
      <c r="M181" t="n">
        <v>9</v>
      </c>
      <c r="N181">
        <f>IF(L181&lt;&gt;M181,1,0)</f>
        <v/>
      </c>
      <c r="O181" t="n">
        <v>9</v>
      </c>
      <c r="R181" t="n">
        <v>25</v>
      </c>
      <c r="S181" t="n">
        <v>3</v>
      </c>
      <c r="T181" s="3">
        <f>SUM(O181:S181)</f>
        <v/>
      </c>
      <c r="U181" s="3">
        <f>IF(P181&lt;8,"USTED ESTÁ AL DÍA","USTED NO ESTÁ AL DÍA")</f>
        <v/>
      </c>
      <c r="V181" s="3" t="inlineStr">
        <is>
          <t>PAGO PRESENCIAL:  05/06 de 4-6 pm (LOCAL DEL PUEBLO), PAGO YAPE: 948 227 636</t>
        </is>
      </c>
      <c r="Y181">
        <f>T181+W181+X181</f>
        <v/>
      </c>
    </row>
    <row r="182" hidden="1" ht="15.75" customHeight="1" s="4">
      <c r="A182" s="3" t="n">
        <v>17076</v>
      </c>
      <c r="B182" s="3" t="inlineStr">
        <is>
          <t>11/04/2026 al 10/05/2026</t>
        </is>
      </c>
      <c r="C182" s="2" t="n">
        <v>46179</v>
      </c>
      <c r="D182" s="2" t="n">
        <v>46174</v>
      </c>
      <c r="E182" s="2" t="n">
        <v>46122</v>
      </c>
      <c r="F182" s="2" t="n">
        <v>46152</v>
      </c>
      <c r="G182" t="inlineStr">
        <is>
          <t>ROSA LUCIA CORONADO LUNA</t>
        </is>
      </c>
      <c r="H182" t="inlineStr">
        <is>
          <t>F</t>
        </is>
      </c>
      <c r="I182" t="inlineStr">
        <is>
          <t>9</t>
        </is>
      </c>
      <c r="J182" t="n">
        <v>63</v>
      </c>
      <c r="K182" t="n">
        <v>87</v>
      </c>
      <c r="L182">
        <f>K182-J182</f>
        <v/>
      </c>
      <c r="M182" t="n">
        <v>24</v>
      </c>
      <c r="N182">
        <f>IF(L182&lt;&gt;M182,1,0)</f>
        <v/>
      </c>
      <c r="O182" t="n">
        <v>24</v>
      </c>
      <c r="R182" t="n">
        <v>25</v>
      </c>
      <c r="S182" t="n">
        <v>3</v>
      </c>
      <c r="T182" s="3">
        <f>SUM(O182:S182)</f>
        <v/>
      </c>
      <c r="U182" s="3">
        <f>IF(P182&lt;8,"USTED ESTÁ AL DÍA","USTED NO ESTÁ AL DÍA")</f>
        <v/>
      </c>
      <c r="V182" s="3" t="inlineStr">
        <is>
          <t>PAGO PRESENCIAL:  05/06 de 4-6 pm (LOCAL DEL PUEBLO), PAGO YAPE: 948 227 636</t>
        </is>
      </c>
      <c r="Y182">
        <f>T182+W182+X182</f>
        <v/>
      </c>
    </row>
    <row r="183" hidden="1" ht="15.75" customHeight="1" s="4">
      <c r="A183" s="3" t="n">
        <v>17077</v>
      </c>
      <c r="B183" s="3" t="inlineStr">
        <is>
          <t>11/04/2026 al 10/05/2026</t>
        </is>
      </c>
      <c r="C183" s="2" t="n">
        <v>46179</v>
      </c>
      <c r="D183" s="2" t="n">
        <v>46174</v>
      </c>
      <c r="E183" s="2" t="n">
        <v>46122</v>
      </c>
      <c r="F183" s="2" t="n">
        <v>46152</v>
      </c>
      <c r="G183" t="inlineStr">
        <is>
          <t>HERMINIO LUCERO TRUJILLO</t>
        </is>
      </c>
      <c r="H183" t="inlineStr">
        <is>
          <t>F</t>
        </is>
      </c>
      <c r="I183" t="inlineStr">
        <is>
          <t>10</t>
        </is>
      </c>
      <c r="J183" t="n">
        <v>302</v>
      </c>
      <c r="K183" t="n">
        <v>320</v>
      </c>
      <c r="L183">
        <f>K183-J183</f>
        <v/>
      </c>
      <c r="M183" t="n">
        <v>18</v>
      </c>
      <c r="N183">
        <f>IF(L183&lt;&gt;M183,1,0)</f>
        <v/>
      </c>
      <c r="O183" t="n">
        <v>18</v>
      </c>
      <c r="S183" t="n">
        <v>3</v>
      </c>
      <c r="T183" s="3">
        <f>SUM(O183:S183)</f>
        <v/>
      </c>
      <c r="U183" s="3">
        <f>IF(P183&lt;8,"USTED ESTÁ AL DÍA","USTED NO ESTÁ AL DÍA")</f>
        <v/>
      </c>
      <c r="V183" s="3" t="inlineStr">
        <is>
          <t>PAGO PRESENCIAL:  05/06 de 4-6 pm (LOCAL DEL PUEBLO), PAGO YAPE: 948 227 636</t>
        </is>
      </c>
      <c r="W183" t="n">
        <v>50</v>
      </c>
      <c r="X183" t="n">
        <v>75</v>
      </c>
      <c r="Y183">
        <f>T183+W183+X183</f>
        <v/>
      </c>
    </row>
    <row r="184" hidden="1" ht="15.75" customHeight="1" s="4">
      <c r="A184" s="3" t="n">
        <v>17078</v>
      </c>
      <c r="B184" s="3" t="inlineStr">
        <is>
          <t>11/04/2026 al 10/05/2026</t>
        </is>
      </c>
      <c r="C184" s="2" t="n">
        <v>46179</v>
      </c>
      <c r="D184" s="2" t="n">
        <v>46174</v>
      </c>
      <c r="E184" s="2" t="n">
        <v>46122</v>
      </c>
      <c r="F184" s="2" t="n">
        <v>46152</v>
      </c>
      <c r="G184" t="inlineStr">
        <is>
          <t>JANETH CHAVEZ CASTILLEJO</t>
        </is>
      </c>
      <c r="H184" t="inlineStr">
        <is>
          <t>F</t>
        </is>
      </c>
      <c r="I184" t="inlineStr">
        <is>
          <t>11</t>
        </is>
      </c>
      <c r="J184" t="n">
        <v>224</v>
      </c>
      <c r="K184" t="n">
        <v>242</v>
      </c>
      <c r="L184">
        <f>K184-J184</f>
        <v/>
      </c>
      <c r="M184" t="n">
        <v>18</v>
      </c>
      <c r="N184">
        <f>IF(L184&lt;&gt;M184,1,0)</f>
        <v/>
      </c>
      <c r="O184" t="n">
        <v>18</v>
      </c>
      <c r="S184" t="n">
        <v>3</v>
      </c>
      <c r="T184" s="3">
        <f>SUM(O184:S184)</f>
        <v/>
      </c>
      <c r="U184" s="3">
        <f>IF(P184&lt;8,"USTED ESTÁ AL DÍA","USTED NO ESTÁ AL DÍA")</f>
        <v/>
      </c>
      <c r="V184" s="3" t="inlineStr">
        <is>
          <t>PAGO PRESENCIAL:  05/06 de 4-6 pm (LOCAL DEL PUEBLO), PAGO YAPE: 948 227 636</t>
        </is>
      </c>
      <c r="W184" t="n">
        <v>20</v>
      </c>
      <c r="X184" t="n">
        <v>75</v>
      </c>
      <c r="Y184">
        <f>T184+W184+X184</f>
        <v/>
      </c>
    </row>
    <row r="185" hidden="1" ht="15.75" customHeight="1" s="4">
      <c r="A185" s="3" t="n">
        <v>17079</v>
      </c>
      <c r="B185" s="3" t="inlineStr">
        <is>
          <t>11/04/2026 al 10/05/2026</t>
        </is>
      </c>
      <c r="C185" s="2" t="n">
        <v>46179</v>
      </c>
      <c r="D185" s="2" t="n">
        <v>46174</v>
      </c>
      <c r="E185" s="2" t="n">
        <v>46122</v>
      </c>
      <c r="F185" s="2" t="n">
        <v>46152</v>
      </c>
      <c r="G185" t="inlineStr">
        <is>
          <t>RODRIGO PODESTA ROSAS</t>
        </is>
      </c>
      <c r="H185" t="inlineStr">
        <is>
          <t>F</t>
        </is>
      </c>
      <c r="I185" t="inlineStr">
        <is>
          <t>14</t>
        </is>
      </c>
      <c r="J185" t="n">
        <v>52</v>
      </c>
      <c r="K185" t="n">
        <v>69</v>
      </c>
      <c r="L185">
        <f>K185-J185</f>
        <v/>
      </c>
      <c r="M185" t="n">
        <v>17</v>
      </c>
      <c r="N185">
        <f>IF(L185&lt;&gt;M185,1,0)</f>
        <v/>
      </c>
      <c r="O185" t="n">
        <v>17</v>
      </c>
      <c r="R185" t="n">
        <v>25</v>
      </c>
      <c r="S185" t="n">
        <v>3</v>
      </c>
      <c r="T185" s="3">
        <f>SUM(O185:S185)</f>
        <v/>
      </c>
      <c r="U185" s="3">
        <f>IF(P185&lt;8,"USTED ESTÁ AL DÍA","USTED NO ESTÁ AL DÍA")</f>
        <v/>
      </c>
      <c r="V185" s="3" t="inlineStr">
        <is>
          <t>PAGO PRESENCIAL:  05/06 de 4-6 pm (LOCAL DEL PUEBLO), PAGO YAPE: 948 227 636</t>
        </is>
      </c>
      <c r="W185" t="n">
        <v>30</v>
      </c>
      <c r="Y185">
        <f>T185+W185+X185</f>
        <v/>
      </c>
    </row>
    <row r="186" hidden="1" ht="15.75" customHeight="1" s="4">
      <c r="A186" s="3" t="n">
        <v>17080</v>
      </c>
      <c r="B186" s="3" t="inlineStr">
        <is>
          <t>11/04/2026 al 10/05/2026</t>
        </is>
      </c>
      <c r="C186" s="2" t="n">
        <v>46179</v>
      </c>
      <c r="D186" s="2" t="n">
        <v>46174</v>
      </c>
      <c r="E186" s="2" t="n">
        <v>46122</v>
      </c>
      <c r="F186" s="2" t="n">
        <v>46152</v>
      </c>
      <c r="G186" t="inlineStr">
        <is>
          <t>ABIGAIL SONIA GASPAR VEGA</t>
        </is>
      </c>
      <c r="H186" t="inlineStr">
        <is>
          <t>F</t>
        </is>
      </c>
      <c r="I186" t="inlineStr">
        <is>
          <t>3A</t>
        </is>
      </c>
      <c r="J186" t="n">
        <v>0</v>
      </c>
      <c r="K186" t="n">
        <v>0</v>
      </c>
      <c r="L186">
        <f>K186-J186</f>
        <v/>
      </c>
      <c r="M186" t="n">
        <v>5</v>
      </c>
      <c r="O186" t="n">
        <v>5</v>
      </c>
      <c r="R186" t="n">
        <v>25</v>
      </c>
      <c r="S186" t="n">
        <v>3</v>
      </c>
      <c r="T186" s="3">
        <f>SUM(O186:S186)</f>
        <v/>
      </c>
      <c r="U186" s="3">
        <f>IF(P186&lt;8,"USTED ESTÁ AL DÍA","USTED NO ESTÁ AL DÍA")</f>
        <v/>
      </c>
      <c r="V186" s="3" t="inlineStr">
        <is>
          <t>PAGO PRESENCIAL:  05/06 de 4-6 pm (LOCAL DEL PUEBLO), PAGO YAPE: 948 227 636</t>
        </is>
      </c>
      <c r="X186" t="n">
        <v>50</v>
      </c>
      <c r="Y186">
        <f>T186+W186+X186</f>
        <v/>
      </c>
    </row>
    <row r="187" hidden="1" ht="15.75" customHeight="1" s="4">
      <c r="A187" s="3" t="n">
        <v>17081</v>
      </c>
      <c r="B187" s="3" t="inlineStr">
        <is>
          <t>11/04/2026 al 10/05/2026</t>
        </is>
      </c>
      <c r="C187" s="2" t="n">
        <v>46179</v>
      </c>
      <c r="D187" s="2" t="n">
        <v>46174</v>
      </c>
      <c r="E187" s="2" t="n">
        <v>46122</v>
      </c>
      <c r="F187" s="2" t="n">
        <v>46152</v>
      </c>
      <c r="G187" t="inlineStr">
        <is>
          <t>MELQUIADES SULCA HUAMANI</t>
        </is>
      </c>
      <c r="H187" t="inlineStr">
        <is>
          <t>F</t>
        </is>
      </c>
      <c r="I187" t="inlineStr">
        <is>
          <t>2</t>
        </is>
      </c>
      <c r="L187">
        <f>K187-J187</f>
        <v/>
      </c>
      <c r="S187" t="n">
        <v>0</v>
      </c>
      <c r="T187" s="3">
        <f>SUM(O187:S187)</f>
        <v/>
      </c>
      <c r="U187" s="3">
        <f>IF(P187&lt;8,"USTED ESTÁ AL DÍA","USTED NO ESTÁ AL DÍA")</f>
        <v/>
      </c>
      <c r="V187" s="3" t="inlineStr">
        <is>
          <t>PAGO PRESENCIAL:  05/06 de 4-6 pm (LOCAL DEL PUEBLO), PAGO YAPE: 948 227 636</t>
        </is>
      </c>
      <c r="W187" t="n">
        <v>30</v>
      </c>
      <c r="X187" t="n">
        <v>75</v>
      </c>
      <c r="Y187">
        <f>T187+W187+X187</f>
        <v/>
      </c>
    </row>
    <row r="188" hidden="1" ht="15.75" customHeight="1" s="4">
      <c r="A188" s="3" t="n">
        <v>17082</v>
      </c>
      <c r="B188" s="3" t="inlineStr">
        <is>
          <t>11/04/2026 al 10/05/2026</t>
        </is>
      </c>
      <c r="C188" s="2" t="n">
        <v>46179</v>
      </c>
      <c r="D188" s="2" t="n">
        <v>46174</v>
      </c>
      <c r="E188" s="2" t="n">
        <v>46122</v>
      </c>
      <c r="F188" s="2" t="n">
        <v>46152</v>
      </c>
      <c r="G188" t="inlineStr">
        <is>
          <t>NEMECIO AVELINO NOLASCO</t>
        </is>
      </c>
      <c r="H188" t="inlineStr">
        <is>
          <t>F1</t>
        </is>
      </c>
      <c r="I188" t="inlineStr">
        <is>
          <t>1</t>
        </is>
      </c>
      <c r="J188" t="n">
        <v>270</v>
      </c>
      <c r="K188" t="n">
        <v>276</v>
      </c>
      <c r="L188">
        <f>K188-J188</f>
        <v/>
      </c>
      <c r="M188" t="n">
        <v>6</v>
      </c>
      <c r="N188">
        <f>IF(L188&lt;&gt;M188,1,0)</f>
        <v/>
      </c>
      <c r="O188" t="n">
        <v>6</v>
      </c>
      <c r="S188" t="n">
        <v>3</v>
      </c>
      <c r="T188" s="3">
        <f>SUM(O188:S188)</f>
        <v/>
      </c>
      <c r="U188" s="3">
        <f>IF(P188&lt;8,"USTED ESTÁ AL DÍA","USTED NO ESTÁ AL DÍA")</f>
        <v/>
      </c>
      <c r="V188" s="3" t="inlineStr">
        <is>
          <t>PAGO PRESENCIAL:  05/06 de 4-6 pm (LOCAL DEL PUEBLO), PAGO YAPE: 948 227 636</t>
        </is>
      </c>
      <c r="Y188">
        <f>T188+W188+X188</f>
        <v/>
      </c>
    </row>
    <row r="189" hidden="1" ht="15.75" customHeight="1" s="4">
      <c r="A189" s="3" t="n">
        <v>17083</v>
      </c>
      <c r="B189" s="3" t="inlineStr">
        <is>
          <t>11/04/2026 al 10/05/2026</t>
        </is>
      </c>
      <c r="C189" s="2" t="n">
        <v>46179</v>
      </c>
      <c r="D189" s="2" t="n">
        <v>46174</v>
      </c>
      <c r="E189" s="2" t="n">
        <v>46122</v>
      </c>
      <c r="F189" s="2" t="n">
        <v>46152</v>
      </c>
      <c r="G189" t="inlineStr">
        <is>
          <t>ANI CRUZ DOMINGUEZ</t>
        </is>
      </c>
      <c r="H189" t="inlineStr">
        <is>
          <t>F1</t>
        </is>
      </c>
      <c r="I189" t="inlineStr">
        <is>
          <t>2</t>
        </is>
      </c>
      <c r="J189" t="n">
        <v>847</v>
      </c>
      <c r="K189" t="n">
        <v>849</v>
      </c>
      <c r="L189">
        <f>K189-J189</f>
        <v/>
      </c>
      <c r="M189" t="n">
        <v>5</v>
      </c>
      <c r="O189" t="n">
        <v>5</v>
      </c>
      <c r="S189" t="n">
        <v>3</v>
      </c>
      <c r="T189" s="3">
        <f>SUM(O189:S189)</f>
        <v/>
      </c>
      <c r="U189" s="3">
        <f>IF(P189&lt;8,"USTED ESTÁ AL DÍA","USTED NO ESTÁ AL DÍA")</f>
        <v/>
      </c>
      <c r="V189" s="3" t="inlineStr">
        <is>
          <t>PAGO PRESENCIAL:  05/06 de 4-6 pm (LOCAL DEL PUEBLO), PAGO YAPE: 948 227 636</t>
        </is>
      </c>
      <c r="X189" t="n">
        <v>75</v>
      </c>
      <c r="Y189">
        <f>T189+W189+X189</f>
        <v/>
      </c>
    </row>
    <row r="190" hidden="1" ht="15.75" customHeight="1" s="4">
      <c r="A190" s="3" t="n">
        <v>17084</v>
      </c>
      <c r="B190" s="3" t="inlineStr">
        <is>
          <t>11/04/2026 al 10/05/2026</t>
        </is>
      </c>
      <c r="C190" s="2" t="n">
        <v>46179</v>
      </c>
      <c r="D190" s="2" t="n">
        <v>46174</v>
      </c>
      <c r="E190" s="2" t="n">
        <v>46122</v>
      </c>
      <c r="F190" s="2" t="n">
        <v>46152</v>
      </c>
      <c r="G190" t="inlineStr">
        <is>
          <t>CESAR ALFREDO VIRU GASPAR</t>
        </is>
      </c>
      <c r="H190" t="inlineStr">
        <is>
          <t>F1</t>
        </is>
      </c>
      <c r="I190" t="inlineStr">
        <is>
          <t>7</t>
        </is>
      </c>
      <c r="J190" t="n">
        <v>361</v>
      </c>
      <c r="K190" t="n">
        <v>365</v>
      </c>
      <c r="L190">
        <f>K190-J190</f>
        <v/>
      </c>
      <c r="M190" t="n">
        <v>5</v>
      </c>
      <c r="O190" t="n">
        <v>5</v>
      </c>
      <c r="S190" t="n">
        <v>3</v>
      </c>
      <c r="T190" s="3">
        <f>SUM(O190:S190)</f>
        <v/>
      </c>
      <c r="U190" s="3">
        <f>IF(P190&lt;8,"USTED ESTÁ AL DÍA","USTED NO ESTÁ AL DÍA")</f>
        <v/>
      </c>
      <c r="V190" s="3" t="inlineStr">
        <is>
          <t>PAGO PRESENCIAL:  05/06 de 4-6 pm (LOCAL DEL PUEBLO), PAGO YAPE: 948 227 636</t>
        </is>
      </c>
      <c r="W190" t="n">
        <v>30</v>
      </c>
      <c r="Y190">
        <f>T190+W190+X190</f>
        <v/>
      </c>
    </row>
    <row r="191" hidden="1" ht="15.75" customHeight="1" s="4">
      <c r="A191" s="3" t="n">
        <v>17085</v>
      </c>
      <c r="B191" s="3" t="inlineStr">
        <is>
          <t>11/04/2026 al 10/05/2026</t>
        </is>
      </c>
      <c r="C191" s="2" t="n">
        <v>46179</v>
      </c>
      <c r="D191" s="2" t="n">
        <v>46174</v>
      </c>
      <c r="E191" s="2" t="n">
        <v>46122</v>
      </c>
      <c r="F191" s="2" t="n">
        <v>46152</v>
      </c>
      <c r="G191" t="inlineStr">
        <is>
          <t>EFRAIN CANDACHO HUARAC</t>
        </is>
      </c>
      <c r="H191" t="inlineStr">
        <is>
          <t>F1</t>
        </is>
      </c>
      <c r="I191" t="inlineStr">
        <is>
          <t>6</t>
        </is>
      </c>
      <c r="J191" t="n">
        <v>122</v>
      </c>
      <c r="K191" t="n">
        <v>128</v>
      </c>
      <c r="L191">
        <f>K191-J191</f>
        <v/>
      </c>
      <c r="M191" t="n">
        <v>6</v>
      </c>
      <c r="N191">
        <f>IF(L191&lt;&gt;M191,1,0)</f>
        <v/>
      </c>
      <c r="O191" t="n">
        <v>6</v>
      </c>
      <c r="S191" t="n">
        <v>3</v>
      </c>
      <c r="T191" s="3">
        <f>SUM(O191:S191)</f>
        <v/>
      </c>
      <c r="U191" s="3">
        <f>IF(P191&lt;8,"USTED ESTÁ AL DÍA","USTED NO ESTÁ AL DÍA")</f>
        <v/>
      </c>
      <c r="V191" s="3" t="inlineStr">
        <is>
          <t>PAGO PRESENCIAL:  05/06 de 4-6 pm (LOCAL DEL PUEBLO), PAGO YAPE: 948 227 636</t>
        </is>
      </c>
      <c r="W191" t="n">
        <v>50</v>
      </c>
      <c r="X191" t="n">
        <v>50</v>
      </c>
      <c r="Y191">
        <f>T191+W191+X191</f>
        <v/>
      </c>
    </row>
    <row r="192" hidden="1" ht="15.75" customHeight="1" s="4">
      <c r="A192" s="3" t="n">
        <v>17086</v>
      </c>
      <c r="B192" s="3" t="inlineStr">
        <is>
          <t>11/04/2026 al 10/05/2026</t>
        </is>
      </c>
      <c r="C192" s="2" t="n">
        <v>46179</v>
      </c>
      <c r="D192" s="2" t="n">
        <v>46174</v>
      </c>
      <c r="E192" s="2" t="n">
        <v>46122</v>
      </c>
      <c r="F192" s="2" t="n">
        <v>46152</v>
      </c>
      <c r="G192" t="inlineStr">
        <is>
          <t>JUAN BAUTISTA PEREZ</t>
        </is>
      </c>
      <c r="H192" t="inlineStr">
        <is>
          <t>F1</t>
        </is>
      </c>
      <c r="I192" t="inlineStr">
        <is>
          <t>8</t>
        </is>
      </c>
      <c r="J192" t="n">
        <v>32</v>
      </c>
      <c r="K192" t="n">
        <v>42</v>
      </c>
      <c r="L192">
        <f>K192-J192</f>
        <v/>
      </c>
      <c r="M192" t="n">
        <v>10</v>
      </c>
      <c r="N192">
        <f>IF(L192&lt;&gt;M192,1,0)</f>
        <v/>
      </c>
      <c r="O192" t="n">
        <v>10</v>
      </c>
      <c r="R192" t="n">
        <v>25</v>
      </c>
      <c r="S192" t="n">
        <v>3</v>
      </c>
      <c r="T192" s="3">
        <f>SUM(O192:S192)</f>
        <v/>
      </c>
      <c r="U192" s="3">
        <f>IF(P192&lt;8,"USTED ESTÁ AL DÍA","USTED NO ESTÁ AL DÍA")</f>
        <v/>
      </c>
      <c r="V192" s="3" t="inlineStr">
        <is>
          <t>PAGO PRESENCIAL:  05/06 de 4-6 pm (LOCAL DEL PUEBLO), PAGO YAPE: 948 227 636</t>
        </is>
      </c>
      <c r="W192" t="n">
        <v>30</v>
      </c>
      <c r="Y192">
        <f>T192+W192+X192</f>
        <v/>
      </c>
    </row>
    <row r="193" hidden="1" ht="15.75" customHeight="1" s="4">
      <c r="A193" s="3" t="n">
        <v>17087</v>
      </c>
      <c r="B193" s="3" t="inlineStr">
        <is>
          <t>11/04/2026 al 10/05/2026</t>
        </is>
      </c>
      <c r="C193" s="2" t="n">
        <v>46179</v>
      </c>
      <c r="D193" s="2" t="n">
        <v>46174</v>
      </c>
      <c r="E193" s="2" t="n">
        <v>46122</v>
      </c>
      <c r="F193" s="2" t="n">
        <v>46152</v>
      </c>
      <c r="G193" t="inlineStr">
        <is>
          <t>RUBEN MORALES VELASQUEZ</t>
        </is>
      </c>
      <c r="H193" t="inlineStr">
        <is>
          <t>F1</t>
        </is>
      </c>
      <c r="I193" t="inlineStr">
        <is>
          <t>9</t>
        </is>
      </c>
      <c r="J193" t="n">
        <v>131</v>
      </c>
      <c r="K193" t="n">
        <v>133</v>
      </c>
      <c r="L193">
        <f>K193-J193</f>
        <v/>
      </c>
      <c r="M193" t="n">
        <v>5</v>
      </c>
      <c r="O193" t="n">
        <v>5</v>
      </c>
      <c r="S193" t="n">
        <v>3</v>
      </c>
      <c r="T193" s="3">
        <f>SUM(O193:S193)</f>
        <v/>
      </c>
      <c r="U193" s="3">
        <f>IF(P193&lt;8,"USTED ESTÁ AL DÍA","USTED NO ESTÁ AL DÍA")</f>
        <v/>
      </c>
      <c r="V193" s="3" t="inlineStr">
        <is>
          <t>PAGO PRESENCIAL:  05/06 de 4-6 pm (LOCAL DEL PUEBLO), PAGO YAPE: 948 227 636</t>
        </is>
      </c>
      <c r="Y193">
        <f>T193+W193+X193</f>
        <v/>
      </c>
    </row>
    <row r="194" hidden="1" ht="15.75" customHeight="1" s="4">
      <c r="A194" s="3" t="n">
        <v>17088</v>
      </c>
      <c r="B194" s="3" t="inlineStr">
        <is>
          <t>11/04/2026 al 10/05/2026</t>
        </is>
      </c>
      <c r="C194" s="2" t="n">
        <v>46179</v>
      </c>
      <c r="D194" s="2" t="n">
        <v>46174</v>
      </c>
      <c r="E194" s="2" t="n">
        <v>46122</v>
      </c>
      <c r="F194" s="2" t="n">
        <v>46152</v>
      </c>
      <c r="G194" t="inlineStr">
        <is>
          <t>LUZ GASPAR VENTURA</t>
        </is>
      </c>
      <c r="H194" t="inlineStr">
        <is>
          <t>F1</t>
        </is>
      </c>
      <c r="I194" t="inlineStr">
        <is>
          <t>10</t>
        </is>
      </c>
      <c r="J194" t="n">
        <v>990</v>
      </c>
      <c r="K194" t="n">
        <v>995</v>
      </c>
      <c r="L194">
        <f>K194-J194</f>
        <v/>
      </c>
      <c r="M194" t="n">
        <v>5</v>
      </c>
      <c r="O194" t="n">
        <v>5</v>
      </c>
      <c r="S194" t="n">
        <v>3</v>
      </c>
      <c r="T194" s="3">
        <f>SUM(O194:S194)</f>
        <v/>
      </c>
      <c r="U194" s="3">
        <f>IF(P194&lt;8,"USTED ESTÁ AL DÍA","USTED NO ESTÁ AL DÍA")</f>
        <v/>
      </c>
      <c r="V194" s="3" t="inlineStr">
        <is>
          <t>PAGO PRESENCIAL:  05/06 de 4-6 pm (LOCAL DEL PUEBLO), PAGO YAPE: 948 227 636</t>
        </is>
      </c>
      <c r="W194" t="n">
        <v>30</v>
      </c>
      <c r="Y194">
        <f>T194+W194+X194</f>
        <v/>
      </c>
    </row>
    <row r="195" hidden="1" ht="15.75" customHeight="1" s="4">
      <c r="A195" s="3" t="n">
        <v>17089</v>
      </c>
      <c r="B195" s="3" t="inlineStr">
        <is>
          <t>11/04/2026 al 10/05/2026</t>
        </is>
      </c>
      <c r="C195" s="2" t="n">
        <v>46179</v>
      </c>
      <c r="D195" s="2" t="n">
        <v>46174</v>
      </c>
      <c r="E195" s="2" t="n">
        <v>46122</v>
      </c>
      <c r="F195" s="2" t="n">
        <v>46152</v>
      </c>
      <c r="G195" t="inlineStr">
        <is>
          <t>MARIA ELIZABETH SILVA SOSA</t>
        </is>
      </c>
      <c r="H195" t="inlineStr">
        <is>
          <t>F1</t>
        </is>
      </c>
      <c r="I195" t="inlineStr">
        <is>
          <t>11</t>
        </is>
      </c>
      <c r="J195" t="n">
        <v>114</v>
      </c>
      <c r="K195" t="n">
        <v>119</v>
      </c>
      <c r="L195">
        <f>K195-J195</f>
        <v/>
      </c>
      <c r="M195" t="n">
        <v>5</v>
      </c>
      <c r="O195" t="n">
        <v>5</v>
      </c>
      <c r="R195" t="n">
        <v>776</v>
      </c>
      <c r="S195" t="n">
        <v>3</v>
      </c>
      <c r="T195" s="3">
        <f>SUM(O195:S195)</f>
        <v/>
      </c>
      <c r="U195" s="3">
        <f>IF(P195&lt;8,"USTED ESTÁ AL DÍA","USTED NO ESTÁ AL DÍA")</f>
        <v/>
      </c>
      <c r="V195" s="3" t="inlineStr">
        <is>
          <t>PAGO PRESENCIAL:  05/06 de 4-6 pm (LOCAL DEL PUEBLO), PAGO YAPE: 948 227 636</t>
        </is>
      </c>
      <c r="Y195">
        <f>T195+W195+X195</f>
        <v/>
      </c>
    </row>
    <row r="196" hidden="1" ht="15.75" customHeight="1" s="4">
      <c r="A196" s="3" t="n">
        <v>17090</v>
      </c>
      <c r="B196" s="3" t="inlineStr">
        <is>
          <t>11/04/2026 al 10/05/2026</t>
        </is>
      </c>
      <c r="C196" s="2" t="n">
        <v>46179</v>
      </c>
      <c r="D196" s="2" t="n">
        <v>46174</v>
      </c>
      <c r="E196" s="2" t="n">
        <v>46122</v>
      </c>
      <c r="F196" s="2" t="n">
        <v>46152</v>
      </c>
      <c r="G196" t="inlineStr">
        <is>
          <t>ANTONIO GUTIERREZ PACHAMANGO</t>
        </is>
      </c>
      <c r="H196" t="inlineStr">
        <is>
          <t>F1</t>
        </is>
      </c>
      <c r="I196" t="inlineStr">
        <is>
          <t>4</t>
        </is>
      </c>
      <c r="J196" t="n">
        <v>1307</v>
      </c>
      <c r="K196" t="n">
        <v>1336</v>
      </c>
      <c r="L196">
        <f>K196-J196</f>
        <v/>
      </c>
      <c r="M196" t="n">
        <v>29</v>
      </c>
      <c r="N196">
        <f>IF(L196&lt;&gt;M196,1,0)</f>
        <v/>
      </c>
      <c r="O196" t="n">
        <v>29</v>
      </c>
      <c r="P196" t="n">
        <v>29</v>
      </c>
      <c r="S196" t="n">
        <v>3</v>
      </c>
      <c r="T196" s="3">
        <f>SUM(O196:S196)</f>
        <v/>
      </c>
      <c r="U196" s="3">
        <f>IF(P196&lt;8,"USTED ESTÁ AL DÍA","USTED NO ESTÁ AL DÍA")</f>
        <v/>
      </c>
      <c r="V196" s="3" t="inlineStr">
        <is>
          <t>PAGO PRESENCIAL:  05/06 de 4-6 pm (LOCAL DEL PUEBLO), PAGO YAPE: 948 227 636</t>
        </is>
      </c>
      <c r="W196" t="n">
        <v>50</v>
      </c>
      <c r="Y196">
        <f>T196+W196+X196</f>
        <v/>
      </c>
    </row>
    <row r="197" hidden="1" ht="15.75" customHeight="1" s="4">
      <c r="A197" s="3" t="n">
        <v>17091</v>
      </c>
      <c r="B197" s="3" t="inlineStr">
        <is>
          <t>11/04/2026 al 10/05/2026</t>
        </is>
      </c>
      <c r="C197" s="2" t="n">
        <v>46179</v>
      </c>
      <c r="D197" s="2" t="n">
        <v>46174</v>
      </c>
      <c r="E197" s="2" t="n">
        <v>46122</v>
      </c>
      <c r="F197" s="2" t="n">
        <v>46152</v>
      </c>
      <c r="G197" t="inlineStr">
        <is>
          <t>ESTELA FLORES LOAYZA</t>
        </is>
      </c>
      <c r="H197" t="inlineStr">
        <is>
          <t>F1</t>
        </is>
      </c>
      <c r="I197" t="inlineStr">
        <is>
          <t>13</t>
        </is>
      </c>
      <c r="J197" t="n">
        <v>259</v>
      </c>
      <c r="K197" t="n">
        <v>261</v>
      </c>
      <c r="L197">
        <f>K197-J197</f>
        <v/>
      </c>
      <c r="M197" t="n">
        <v>5</v>
      </c>
      <c r="O197" t="n">
        <v>5</v>
      </c>
      <c r="P197" t="n">
        <v>8</v>
      </c>
      <c r="S197" t="n">
        <v>3</v>
      </c>
      <c r="T197" s="3">
        <f>SUM(O197:S197)</f>
        <v/>
      </c>
      <c r="U197" s="3">
        <f>IF(P197&lt;8,"USTED ESTÁ AL DÍA","USTED NO ESTÁ AL DÍA")</f>
        <v/>
      </c>
      <c r="V197" s="3" t="inlineStr">
        <is>
          <t>PAGO PRESENCIAL:  05/06 de 4-6 pm (LOCAL DEL PUEBLO), PAGO YAPE: 948 227 636</t>
        </is>
      </c>
      <c r="Y197">
        <f>T197+W197+X197</f>
        <v/>
      </c>
    </row>
    <row r="198" hidden="1" ht="15.75" customHeight="1" s="4">
      <c r="A198" s="3" t="n">
        <v>17092</v>
      </c>
      <c r="B198" s="3" t="inlineStr">
        <is>
          <t>11/04/2026 al 10/05/2026</t>
        </is>
      </c>
      <c r="C198" s="2" t="n">
        <v>46179</v>
      </c>
      <c r="D198" s="2" t="n">
        <v>46174</v>
      </c>
      <c r="E198" s="2" t="n">
        <v>46122</v>
      </c>
      <c r="F198" s="2" t="n">
        <v>46152</v>
      </c>
      <c r="G198" t="inlineStr">
        <is>
          <t>RUTH LURDINA MILLA CRUZ</t>
        </is>
      </c>
      <c r="H198" t="inlineStr">
        <is>
          <t>F1</t>
        </is>
      </c>
      <c r="I198" t="inlineStr">
        <is>
          <t>3</t>
        </is>
      </c>
      <c r="L198">
        <f>K198-J198</f>
        <v/>
      </c>
      <c r="S198" t="n">
        <v>0</v>
      </c>
      <c r="T198" s="3">
        <f>SUM(O198:S198)</f>
        <v/>
      </c>
      <c r="U198" s="3">
        <f>IF(P198&lt;8,"USTED ESTÁ AL DÍA","USTED NO ESTÁ AL DÍA")</f>
        <v/>
      </c>
      <c r="V198" s="3" t="inlineStr">
        <is>
          <t>PAGO PRESENCIAL:  05/06 de 4-6 pm (LOCAL DEL PUEBLO), PAGO YAPE: 948 227 636</t>
        </is>
      </c>
      <c r="W198" t="n">
        <v>50</v>
      </c>
      <c r="Y198">
        <f>T198+W198+X198</f>
        <v/>
      </c>
    </row>
    <row r="199" hidden="1" ht="15.75" customHeight="1" s="4">
      <c r="A199" s="3" t="n">
        <v>17093</v>
      </c>
      <c r="B199" s="3" t="inlineStr">
        <is>
          <t>11/04/2026 al 10/05/2026</t>
        </is>
      </c>
      <c r="C199" s="2" t="n">
        <v>46179</v>
      </c>
      <c r="D199" s="2" t="n">
        <v>46174</v>
      </c>
      <c r="E199" s="2" t="n">
        <v>46122</v>
      </c>
      <c r="F199" s="2" t="n">
        <v>46152</v>
      </c>
      <c r="G199" t="inlineStr">
        <is>
          <t>SANTA ANGELICA VALLLADARES DOMINGUEZ</t>
        </is>
      </c>
      <c r="H199" t="inlineStr">
        <is>
          <t>F1</t>
        </is>
      </c>
      <c r="I199" t="inlineStr">
        <is>
          <t>5</t>
        </is>
      </c>
      <c r="L199">
        <f>K199-J199</f>
        <v/>
      </c>
      <c r="S199" t="n">
        <v>0</v>
      </c>
      <c r="T199" s="3">
        <f>SUM(O199:S199)</f>
        <v/>
      </c>
      <c r="U199" s="3">
        <f>IF(P199&lt;8,"USTED ESTÁ AL DÍA","USTED NO ESTÁ AL DÍA")</f>
        <v/>
      </c>
      <c r="V199" s="3" t="inlineStr">
        <is>
          <t>PAGO PRESENCIAL:  05/06 de 4-6 pm (LOCAL DEL PUEBLO), PAGO YAPE: 948 227 636</t>
        </is>
      </c>
      <c r="X199" t="n">
        <v>50</v>
      </c>
      <c r="Y199">
        <f>T199+W199+X199</f>
        <v/>
      </c>
    </row>
    <row r="200" hidden="1" ht="15.75" customHeight="1" s="4">
      <c r="A200" s="3" t="n">
        <v>17094</v>
      </c>
      <c r="B200" s="3" t="inlineStr">
        <is>
          <t>11/04/2026 al 10/05/2026</t>
        </is>
      </c>
      <c r="C200" s="2" t="n">
        <v>46179</v>
      </c>
      <c r="D200" s="2" t="n">
        <v>46174</v>
      </c>
      <c r="E200" s="2" t="n">
        <v>46122</v>
      </c>
      <c r="F200" s="2" t="n">
        <v>46152</v>
      </c>
      <c r="G200" t="inlineStr">
        <is>
          <t>ANTONIA MELGAREJO CORCINO</t>
        </is>
      </c>
      <c r="H200" t="inlineStr">
        <is>
          <t>G</t>
        </is>
      </c>
      <c r="I200" t="inlineStr">
        <is>
          <t>7</t>
        </is>
      </c>
      <c r="J200" t="n">
        <v>1778</v>
      </c>
      <c r="K200" t="n">
        <v>1803</v>
      </c>
      <c r="L200">
        <f>K200-J200</f>
        <v/>
      </c>
      <c r="M200" t="n">
        <v>25</v>
      </c>
      <c r="N200">
        <f>IF(L200&lt;&gt;M200,1,0)</f>
        <v/>
      </c>
      <c r="O200" t="n">
        <v>25</v>
      </c>
      <c r="P200" t="n">
        <v>29</v>
      </c>
      <c r="S200" t="n">
        <v>3</v>
      </c>
      <c r="T200" s="3">
        <f>SUM(O200:S200)</f>
        <v/>
      </c>
      <c r="U200" s="3">
        <f>IF(P200&lt;8,"USTED ESTÁ AL DÍA","USTED NO ESTÁ AL DÍA")</f>
        <v/>
      </c>
      <c r="V200" s="3" t="inlineStr">
        <is>
          <t>PAGO PRESENCIAL:  05/06 de 4-6 pm (LOCAL DEL PUEBLO), PAGO YAPE: 948 227 636</t>
        </is>
      </c>
      <c r="Y200">
        <f>T200+W200+X200</f>
        <v/>
      </c>
    </row>
    <row r="201" hidden="1" ht="15.75" customHeight="1" s="4">
      <c r="A201" s="3" t="n">
        <v>17095</v>
      </c>
      <c r="B201" s="3" t="inlineStr">
        <is>
          <t>11/04/2026 al 10/05/2026</t>
        </is>
      </c>
      <c r="C201" s="2" t="n">
        <v>46179</v>
      </c>
      <c r="D201" s="2" t="n">
        <v>46174</v>
      </c>
      <c r="E201" s="2" t="n">
        <v>46122</v>
      </c>
      <c r="F201" s="2" t="n">
        <v>46152</v>
      </c>
      <c r="G201" t="inlineStr">
        <is>
          <t>RODRIGO SAAVEDRA TRUJILLO</t>
        </is>
      </c>
      <c r="H201" t="inlineStr">
        <is>
          <t>G</t>
        </is>
      </c>
      <c r="I201" t="inlineStr">
        <is>
          <t>9</t>
        </is>
      </c>
      <c r="J201" t="n">
        <v>1086</v>
      </c>
      <c r="K201" t="n">
        <v>1105</v>
      </c>
      <c r="L201">
        <f>K201-J201</f>
        <v/>
      </c>
      <c r="M201" t="n">
        <v>19</v>
      </c>
      <c r="N201">
        <f>IF(L201&lt;&gt;M201,1,0)</f>
        <v/>
      </c>
      <c r="O201" t="n">
        <v>19</v>
      </c>
      <c r="P201" t="n">
        <v>22</v>
      </c>
      <c r="S201" t="n">
        <v>3</v>
      </c>
      <c r="T201" s="3">
        <f>SUM(O201:S201)</f>
        <v/>
      </c>
      <c r="U201" s="3">
        <f>IF(P201&lt;8,"USTED ESTÁ AL DÍA","USTED NO ESTÁ AL DÍA")</f>
        <v/>
      </c>
      <c r="V201" s="3" t="inlineStr">
        <is>
          <t>PAGO PRESENCIAL:  05/06 de 4-6 pm (LOCAL DEL PUEBLO), PAGO YAPE: 948 227 636</t>
        </is>
      </c>
      <c r="Y201">
        <f>T201+W201+X201</f>
        <v/>
      </c>
    </row>
    <row r="202" hidden="1" ht="15.75" customHeight="1" s="4">
      <c r="A202" s="3" t="n">
        <v>17096</v>
      </c>
      <c r="B202" s="3" t="inlineStr">
        <is>
          <t>11/04/2026 al 10/05/2026</t>
        </is>
      </c>
      <c r="C202" s="2" t="n">
        <v>46179</v>
      </c>
      <c r="D202" s="2" t="n">
        <v>46174</v>
      </c>
      <c r="E202" s="2" t="n">
        <v>46122</v>
      </c>
      <c r="F202" s="2" t="n">
        <v>46152</v>
      </c>
      <c r="G202" t="inlineStr">
        <is>
          <t>MARITZA ALBORNOZ SIGUEÑAS</t>
        </is>
      </c>
      <c r="H202" t="inlineStr">
        <is>
          <t>G</t>
        </is>
      </c>
      <c r="I202" t="inlineStr">
        <is>
          <t>16A</t>
        </is>
      </c>
      <c r="J202" t="n">
        <v>480</v>
      </c>
      <c r="K202" t="n">
        <v>491</v>
      </c>
      <c r="L202">
        <f>K202-J202</f>
        <v/>
      </c>
      <c r="M202" t="n">
        <v>11</v>
      </c>
      <c r="N202">
        <f>IF(L202&lt;&gt;M202,1,0)</f>
        <v/>
      </c>
      <c r="O202" t="n">
        <v>11</v>
      </c>
      <c r="P202" t="n">
        <v>11</v>
      </c>
      <c r="S202" t="n">
        <v>3</v>
      </c>
      <c r="T202" s="3">
        <f>SUM(O202:S202)</f>
        <v/>
      </c>
      <c r="U202" s="3">
        <f>IF(P202&lt;8,"USTED ESTÁ AL DÍA","USTED NO ESTÁ AL DÍA")</f>
        <v/>
      </c>
      <c r="V202" s="3" t="inlineStr">
        <is>
          <t>PAGO PRESENCIAL:  05/06 de 4-6 pm (LOCAL DEL PUEBLO), PAGO YAPE: 948 227 636</t>
        </is>
      </c>
      <c r="W202" t="n">
        <v>20</v>
      </c>
      <c r="X202" t="n">
        <v>75</v>
      </c>
      <c r="Y202">
        <f>T202+W202+X202</f>
        <v/>
      </c>
    </row>
    <row r="203" hidden="1" ht="15.75" customHeight="1" s="4">
      <c r="A203" s="3" t="n">
        <v>17097</v>
      </c>
      <c r="B203" s="3" t="inlineStr">
        <is>
          <t>11/04/2026 al 10/05/2026</t>
        </is>
      </c>
      <c r="C203" s="2" t="n">
        <v>46179</v>
      </c>
      <c r="D203" s="2" t="n">
        <v>46174</v>
      </c>
      <c r="E203" s="2" t="n">
        <v>46122</v>
      </c>
      <c r="F203" s="2" t="n">
        <v>46152</v>
      </c>
      <c r="G203" t="inlineStr">
        <is>
          <t>DEYSI COSME GARCILAZO</t>
        </is>
      </c>
      <c r="H203" t="inlineStr">
        <is>
          <t>G</t>
        </is>
      </c>
      <c r="I203" t="inlineStr">
        <is>
          <t>21A</t>
        </is>
      </c>
      <c r="J203" t="n">
        <v>789</v>
      </c>
      <c r="K203" t="n">
        <v>804</v>
      </c>
      <c r="L203">
        <f>K203-J203</f>
        <v/>
      </c>
      <c r="M203" t="n">
        <v>15</v>
      </c>
      <c r="N203">
        <f>IF(L203&lt;&gt;M203,1,0)</f>
        <v/>
      </c>
      <c r="O203" t="n">
        <v>15</v>
      </c>
      <c r="P203" t="n">
        <v>22</v>
      </c>
      <c r="S203" t="n">
        <v>3</v>
      </c>
      <c r="T203" s="3">
        <f>SUM(O203:S203)</f>
        <v/>
      </c>
      <c r="U203" s="3">
        <f>IF(P203&lt;8,"USTED ESTÁ AL DÍA","USTED NO ESTÁ AL DÍA")</f>
        <v/>
      </c>
      <c r="V203" s="3" t="inlineStr">
        <is>
          <t>PAGO PRESENCIAL:  05/06 de 4-6 pm (LOCAL DEL PUEBLO), PAGO YAPE: 948 227 636</t>
        </is>
      </c>
      <c r="Y203">
        <f>T203+W203+X203</f>
        <v/>
      </c>
    </row>
    <row r="204" hidden="1" ht="15.75" customHeight="1" s="4">
      <c r="A204" s="3" t="n">
        <v>17098</v>
      </c>
      <c r="B204" s="3" t="inlineStr">
        <is>
          <t>11/04/2026 al 10/05/2026</t>
        </is>
      </c>
      <c r="C204" s="2" t="n">
        <v>46179</v>
      </c>
      <c r="D204" s="2" t="n">
        <v>46174</v>
      </c>
      <c r="E204" s="2" t="n">
        <v>46122</v>
      </c>
      <c r="F204" s="2" t="n">
        <v>46152</v>
      </c>
      <c r="G204" t="inlineStr">
        <is>
          <t>SOFIA FRANCISCO CHINCHAY</t>
        </is>
      </c>
      <c r="H204" t="inlineStr">
        <is>
          <t>G</t>
        </is>
      </c>
      <c r="I204" t="inlineStr">
        <is>
          <t>22</t>
        </is>
      </c>
      <c r="J204" t="n">
        <v>292</v>
      </c>
      <c r="K204" t="n">
        <v>315</v>
      </c>
      <c r="L204">
        <f>K204-J204</f>
        <v/>
      </c>
      <c r="M204" t="n">
        <v>23</v>
      </c>
      <c r="N204">
        <f>IF(L204&lt;&gt;M204,1,0)</f>
        <v/>
      </c>
      <c r="O204" t="n">
        <v>23</v>
      </c>
      <c r="P204" t="n">
        <v>32</v>
      </c>
      <c r="S204" t="n">
        <v>3</v>
      </c>
      <c r="T204" s="3">
        <f>SUM(O204:S204)</f>
        <v/>
      </c>
      <c r="U204" s="3">
        <f>IF(P204&lt;8,"USTED ESTÁ AL DÍA","USTED NO ESTÁ AL DÍA")</f>
        <v/>
      </c>
      <c r="V204" s="3" t="inlineStr">
        <is>
          <t>PAGO PRESENCIAL:  05/06 de 4-6 pm (LOCAL DEL PUEBLO), PAGO YAPE: 948 227 636</t>
        </is>
      </c>
      <c r="Y204">
        <f>T204+W204+X204</f>
        <v/>
      </c>
    </row>
    <row r="205" hidden="1" ht="15.75" customHeight="1" s="4">
      <c r="A205" s="3" t="n">
        <v>17099</v>
      </c>
      <c r="B205" s="3" t="inlineStr">
        <is>
          <t>11/04/2026 al 10/05/2026</t>
        </is>
      </c>
      <c r="C205" s="2" t="n">
        <v>46179</v>
      </c>
      <c r="D205" s="2" t="n">
        <v>46174</v>
      </c>
      <c r="E205" s="2" t="n">
        <v>46122</v>
      </c>
      <c r="F205" s="2" t="n">
        <v>46152</v>
      </c>
      <c r="G205" t="inlineStr">
        <is>
          <t>SERAPIO FERNANDO CARRION MENDOZA</t>
        </is>
      </c>
      <c r="H205" t="inlineStr">
        <is>
          <t>G</t>
        </is>
      </c>
      <c r="I205" t="inlineStr">
        <is>
          <t>24</t>
        </is>
      </c>
      <c r="J205" t="n">
        <v>492</v>
      </c>
      <c r="K205" t="n">
        <v>519</v>
      </c>
      <c r="L205">
        <f>K205-J205</f>
        <v/>
      </c>
      <c r="M205" t="n">
        <v>27</v>
      </c>
      <c r="N205">
        <f>IF(L205&lt;&gt;M205,1,0)</f>
        <v/>
      </c>
      <c r="O205" t="n">
        <v>27</v>
      </c>
      <c r="P205" t="n">
        <v>31</v>
      </c>
      <c r="S205" t="n">
        <v>3</v>
      </c>
      <c r="T205" s="3">
        <f>SUM(O205:S205)</f>
        <v/>
      </c>
      <c r="U205" s="3">
        <f>IF(P205&lt;8,"USTED ESTÁ AL DÍA","USTED NO ESTÁ AL DÍA")</f>
        <v/>
      </c>
      <c r="V205" s="3" t="inlineStr">
        <is>
          <t>PAGO PRESENCIAL:  05/06 de 4-6 pm (LOCAL DEL PUEBLO), PAGO YAPE: 948 227 636</t>
        </is>
      </c>
      <c r="W205" t="n">
        <v>20</v>
      </c>
      <c r="X205" t="n">
        <v>75</v>
      </c>
      <c r="Y205">
        <f>T205+W205+X205</f>
        <v/>
      </c>
    </row>
    <row r="206" hidden="1" ht="15.75" customHeight="1" s="4">
      <c r="A206" s="3" t="n">
        <v>17100</v>
      </c>
      <c r="B206" s="3" t="inlineStr">
        <is>
          <t>11/04/2026 al 10/05/2026</t>
        </is>
      </c>
      <c r="C206" s="2" t="n">
        <v>46179</v>
      </c>
      <c r="D206" s="2" t="n">
        <v>46174</v>
      </c>
      <c r="E206" s="2" t="n">
        <v>46122</v>
      </c>
      <c r="F206" s="2" t="n">
        <v>46152</v>
      </c>
      <c r="G206" t="inlineStr">
        <is>
          <t>JACINTO MORENO BAUTISTA</t>
        </is>
      </c>
      <c r="H206" t="inlineStr">
        <is>
          <t>G</t>
        </is>
      </c>
      <c r="I206" t="inlineStr">
        <is>
          <t>1</t>
        </is>
      </c>
      <c r="J206" t="n">
        <v>862</v>
      </c>
      <c r="K206" t="n">
        <v>887</v>
      </c>
      <c r="L206">
        <f>K206-J206</f>
        <v/>
      </c>
      <c r="M206" t="n">
        <v>25</v>
      </c>
      <c r="N206">
        <f>IF(L206&lt;&gt;M206,1,0)</f>
        <v/>
      </c>
      <c r="O206" t="n">
        <v>25</v>
      </c>
      <c r="S206" t="n">
        <v>3</v>
      </c>
      <c r="T206" s="3">
        <f>SUM(O206:S206)</f>
        <v/>
      </c>
      <c r="U206" s="3">
        <f>IF(P206&lt;8,"USTED ESTÁ AL DÍA","USTED NO ESTÁ AL DÍA")</f>
        <v/>
      </c>
      <c r="V206" s="3" t="inlineStr">
        <is>
          <t>PAGO PRESENCIAL:  05/06 de 4-6 pm (LOCAL DEL PUEBLO), PAGO YAPE: 948 227 636</t>
        </is>
      </c>
      <c r="W206" t="n">
        <v>50</v>
      </c>
      <c r="Y206">
        <f>T206+W206+X206</f>
        <v/>
      </c>
    </row>
    <row r="207" hidden="1" ht="15.75" customHeight="1" s="4">
      <c r="A207" s="3" t="n">
        <v>17101</v>
      </c>
      <c r="B207" s="3" t="inlineStr">
        <is>
          <t>11/04/2026 al 10/05/2026</t>
        </is>
      </c>
      <c r="C207" s="2" t="n">
        <v>46179</v>
      </c>
      <c r="D207" s="2" t="n">
        <v>46174</v>
      </c>
      <c r="E207" s="2" t="n">
        <v>46122</v>
      </c>
      <c r="F207" s="2" t="n">
        <v>46152</v>
      </c>
      <c r="G207" t="inlineStr">
        <is>
          <t>SANTOS BAUTISTA CAPCHA</t>
        </is>
      </c>
      <c r="H207" t="inlineStr">
        <is>
          <t>G</t>
        </is>
      </c>
      <c r="I207" t="inlineStr">
        <is>
          <t>2</t>
        </is>
      </c>
      <c r="J207" t="n">
        <v>63</v>
      </c>
      <c r="K207" t="n">
        <v>87</v>
      </c>
      <c r="L207">
        <f>K207-J207</f>
        <v/>
      </c>
      <c r="M207" t="n">
        <v>24</v>
      </c>
      <c r="N207">
        <f>IF(L207&lt;&gt;M207,1,0)</f>
        <v/>
      </c>
      <c r="O207" t="n">
        <v>24</v>
      </c>
      <c r="R207" t="n">
        <v>25</v>
      </c>
      <c r="S207" t="n">
        <v>3</v>
      </c>
      <c r="T207" s="3">
        <f>SUM(O207:S207)</f>
        <v/>
      </c>
      <c r="U207" s="3">
        <f>IF(P207&lt;8,"USTED ESTÁ AL DÍA","USTED NO ESTÁ AL DÍA")</f>
        <v/>
      </c>
      <c r="V207" s="3" t="inlineStr">
        <is>
          <t>PAGO PRESENCIAL:  05/06 de 4-6 pm (LOCAL DEL PUEBLO), PAGO YAPE: 948 227 636</t>
        </is>
      </c>
      <c r="W207" t="n">
        <v>30</v>
      </c>
      <c r="X207" t="n">
        <v>75</v>
      </c>
      <c r="Y207">
        <f>T207+W207+X207</f>
        <v/>
      </c>
    </row>
    <row r="208" hidden="1" ht="15.75" customHeight="1" s="4">
      <c r="A208" s="3" t="n">
        <v>17102</v>
      </c>
      <c r="B208" s="3" t="inlineStr">
        <is>
          <t>11/04/2026 al 10/05/2026</t>
        </is>
      </c>
      <c r="C208" s="2" t="n">
        <v>46179</v>
      </c>
      <c r="D208" s="2" t="n">
        <v>46174</v>
      </c>
      <c r="E208" s="2" t="n">
        <v>46122</v>
      </c>
      <c r="F208" s="2" t="n">
        <v>46152</v>
      </c>
      <c r="G208" t="inlineStr">
        <is>
          <t>RAQUEL MABEL AVILA MORALES</t>
        </is>
      </c>
      <c r="H208" t="inlineStr">
        <is>
          <t>G</t>
        </is>
      </c>
      <c r="I208" t="inlineStr">
        <is>
          <t>3</t>
        </is>
      </c>
      <c r="J208" t="n">
        <v>19</v>
      </c>
      <c r="K208" t="n">
        <v>34</v>
      </c>
      <c r="L208">
        <f>K208-J208</f>
        <v/>
      </c>
      <c r="M208" t="n">
        <v>15</v>
      </c>
      <c r="N208">
        <f>IF(L208&lt;&gt;M208,1,0)</f>
        <v/>
      </c>
      <c r="O208" t="n">
        <v>15</v>
      </c>
      <c r="R208" t="n">
        <v>25</v>
      </c>
      <c r="S208" t="n">
        <v>3</v>
      </c>
      <c r="T208" s="3">
        <f>SUM(O208:S208)</f>
        <v/>
      </c>
      <c r="U208" s="3">
        <f>IF(P208&lt;8,"USTED ESTÁ AL DÍA","USTED NO ESTÁ AL DÍA")</f>
        <v/>
      </c>
      <c r="V208" s="3" t="inlineStr">
        <is>
          <t>PAGO PRESENCIAL:  05/06 de 4-6 pm (LOCAL DEL PUEBLO), PAGO YAPE: 948 227 636</t>
        </is>
      </c>
      <c r="W208" t="n">
        <v>30</v>
      </c>
      <c r="X208" t="n">
        <v>50</v>
      </c>
      <c r="Y208">
        <f>T208+W208+X208</f>
        <v/>
      </c>
    </row>
    <row r="209" hidden="1" ht="15.75" customHeight="1" s="4">
      <c r="A209" s="3" t="n">
        <v>17103</v>
      </c>
      <c r="B209" s="3" t="inlineStr">
        <is>
          <t>11/04/2026 al 10/05/2026</t>
        </is>
      </c>
      <c r="C209" s="2" t="n">
        <v>46179</v>
      </c>
      <c r="D209" s="2" t="n">
        <v>46174</v>
      </c>
      <c r="E209" s="2" t="n">
        <v>46122</v>
      </c>
      <c r="F209" s="2" t="n">
        <v>46152</v>
      </c>
      <c r="G209" t="inlineStr">
        <is>
          <t>NATALIA CHINCHAY COLLAS</t>
        </is>
      </c>
      <c r="H209" t="inlineStr">
        <is>
          <t>G</t>
        </is>
      </c>
      <c r="I209" t="inlineStr">
        <is>
          <t>4</t>
        </is>
      </c>
      <c r="J209" t="n">
        <v>26</v>
      </c>
      <c r="K209" t="n">
        <v>34</v>
      </c>
      <c r="L209">
        <f>K209-J209</f>
        <v/>
      </c>
      <c r="M209" t="n">
        <v>8</v>
      </c>
      <c r="N209">
        <f>IF(L209&lt;&gt;M209,1,0)</f>
        <v/>
      </c>
      <c r="O209" t="n">
        <v>8</v>
      </c>
      <c r="R209" t="n">
        <v>25</v>
      </c>
      <c r="S209" t="n">
        <v>3</v>
      </c>
      <c r="T209" s="3">
        <f>SUM(O209:S209)</f>
        <v/>
      </c>
      <c r="U209" s="3">
        <f>IF(P209&lt;8,"USTED ESTÁ AL DÍA","USTED NO ESTÁ AL DÍA")</f>
        <v/>
      </c>
      <c r="V209" s="3" t="inlineStr">
        <is>
          <t>PAGO PRESENCIAL:  05/06 de 4-6 pm (LOCAL DEL PUEBLO), PAGO YAPE: 948 227 636</t>
        </is>
      </c>
      <c r="W209" t="n">
        <v>50</v>
      </c>
      <c r="X209" t="n">
        <v>50</v>
      </c>
      <c r="Y209">
        <f>T209+W209+X209</f>
        <v/>
      </c>
    </row>
    <row r="210" hidden="1" ht="15.75" customHeight="1" s="4">
      <c r="A210" s="3" t="n">
        <v>17104</v>
      </c>
      <c r="B210" s="3" t="inlineStr">
        <is>
          <t>11/04/2026 al 10/05/2026</t>
        </is>
      </c>
      <c r="C210" s="2" t="n">
        <v>46179</v>
      </c>
      <c r="D210" s="2" t="n">
        <v>46174</v>
      </c>
      <c r="E210" s="2" t="n">
        <v>46122</v>
      </c>
      <c r="F210" s="2" t="n">
        <v>46152</v>
      </c>
      <c r="G210" t="inlineStr">
        <is>
          <t>COMEDOR POPULAR CENTRO DE MADRES</t>
        </is>
      </c>
      <c r="H210" t="inlineStr">
        <is>
          <t>G</t>
        </is>
      </c>
      <c r="I210" t="inlineStr">
        <is>
          <t>5</t>
        </is>
      </c>
      <c r="J210" t="n">
        <v>512</v>
      </c>
      <c r="K210" t="n">
        <v>523</v>
      </c>
      <c r="L210">
        <f>K210-J210</f>
        <v/>
      </c>
      <c r="M210" t="n">
        <v>11</v>
      </c>
      <c r="N210">
        <f>IF(L210&lt;&gt;M210,1,0)</f>
        <v/>
      </c>
      <c r="O210" t="n">
        <v>11</v>
      </c>
      <c r="S210" t="n">
        <v>3</v>
      </c>
      <c r="T210" s="3">
        <f>SUM(O210:S210)</f>
        <v/>
      </c>
      <c r="U210" s="3">
        <f>IF(P210&lt;8,"USTED ESTÁ AL DÍA","USTED NO ESTÁ AL DÍA")</f>
        <v/>
      </c>
      <c r="V210" s="3" t="inlineStr">
        <is>
          <t>PAGO PRESENCIAL:  05/06 de 4-6 pm (LOCAL DEL PUEBLO), PAGO YAPE: 948 227 636</t>
        </is>
      </c>
      <c r="W210" t="n">
        <v>50</v>
      </c>
      <c r="X210" t="n">
        <v>50</v>
      </c>
      <c r="Y210">
        <f>T210+W210+X210</f>
        <v/>
      </c>
    </row>
    <row r="211" hidden="1" ht="15.75" customHeight="1" s="4">
      <c r="A211" s="3" t="n">
        <v>17105</v>
      </c>
      <c r="B211" s="3" t="inlineStr">
        <is>
          <t>11/04/2026 al 10/05/2026</t>
        </is>
      </c>
      <c r="C211" s="2" t="n">
        <v>46179</v>
      </c>
      <c r="D211" s="2" t="n">
        <v>46174</v>
      </c>
      <c r="E211" s="2" t="n">
        <v>46122</v>
      </c>
      <c r="F211" s="2" t="n">
        <v>46152</v>
      </c>
      <c r="G211" t="inlineStr">
        <is>
          <t>VICTOR MANUEL JARA ESPINOZA</t>
        </is>
      </c>
      <c r="H211" t="inlineStr">
        <is>
          <t>G</t>
        </is>
      </c>
      <c r="I211" t="inlineStr">
        <is>
          <t>6</t>
        </is>
      </c>
      <c r="J211" t="n">
        <v>63</v>
      </c>
      <c r="K211" t="n">
        <v>92</v>
      </c>
      <c r="L211">
        <f>K211-J211</f>
        <v/>
      </c>
      <c r="M211" t="n">
        <v>29</v>
      </c>
      <c r="N211">
        <f>IF(L211&lt;&gt;M211,1,0)</f>
        <v/>
      </c>
      <c r="O211" t="n">
        <v>29</v>
      </c>
      <c r="R211" t="n">
        <v>25</v>
      </c>
      <c r="S211" t="n">
        <v>3</v>
      </c>
      <c r="T211" s="3">
        <f>SUM(O211:S211)</f>
        <v/>
      </c>
      <c r="U211" s="3">
        <f>IF(P211&lt;8,"USTED ESTÁ AL DÍA","USTED NO ESTÁ AL DÍA")</f>
        <v/>
      </c>
      <c r="V211" s="3" t="inlineStr">
        <is>
          <t>PAGO PRESENCIAL:  05/06 de 4-6 pm (LOCAL DEL PUEBLO), PAGO YAPE: 948 227 636</t>
        </is>
      </c>
      <c r="W211" t="n">
        <v>50</v>
      </c>
      <c r="X211" t="n">
        <v>75</v>
      </c>
      <c r="Y211">
        <f>T211+W211+X211</f>
        <v/>
      </c>
    </row>
    <row r="212" hidden="1" ht="15.75" customHeight="1" s="4">
      <c r="A212" s="3" t="n">
        <v>17106</v>
      </c>
      <c r="B212" s="3" t="inlineStr">
        <is>
          <t>11/04/2026 al 10/05/2026</t>
        </is>
      </c>
      <c r="C212" s="2" t="n">
        <v>46179</v>
      </c>
      <c r="D212" s="2" t="n">
        <v>46174</v>
      </c>
      <c r="E212" s="2" t="n">
        <v>46122</v>
      </c>
      <c r="F212" s="2" t="n">
        <v>46152</v>
      </c>
      <c r="G212" t="inlineStr">
        <is>
          <t>CELICA TRUJILLO LUCIANO</t>
        </is>
      </c>
      <c r="H212" t="inlineStr">
        <is>
          <t>G</t>
        </is>
      </c>
      <c r="I212" t="inlineStr">
        <is>
          <t>8</t>
        </is>
      </c>
      <c r="J212" t="n">
        <v>5286</v>
      </c>
      <c r="K212" t="n">
        <v>5311</v>
      </c>
      <c r="L212">
        <f>K212-J212</f>
        <v/>
      </c>
      <c r="M212" t="n">
        <v>25</v>
      </c>
      <c r="N212">
        <f>IF(L212&lt;&gt;M212,1,0)</f>
        <v/>
      </c>
      <c r="O212" t="n">
        <v>25</v>
      </c>
      <c r="S212" t="n">
        <v>3</v>
      </c>
      <c r="T212" s="3">
        <f>SUM(O212:S212)</f>
        <v/>
      </c>
      <c r="U212" s="3">
        <f>IF(P212&lt;8,"USTED ESTÁ AL DÍA","USTED NO ESTÁ AL DÍA")</f>
        <v/>
      </c>
      <c r="V212" s="3" t="inlineStr">
        <is>
          <t>PAGO PRESENCIAL:  05/06 de 4-6 pm (LOCAL DEL PUEBLO), PAGO YAPE: 948 227 636</t>
        </is>
      </c>
      <c r="Y212">
        <f>T212+W212+X212</f>
        <v/>
      </c>
    </row>
    <row r="213" hidden="1" ht="15.75" customHeight="1" s="4">
      <c r="A213" s="3" t="n">
        <v>17107</v>
      </c>
      <c r="B213" s="3" t="inlineStr">
        <is>
          <t>11/04/2026 al 10/05/2026</t>
        </is>
      </c>
      <c r="C213" s="2" t="n">
        <v>46179</v>
      </c>
      <c r="D213" s="2" t="n">
        <v>46174</v>
      </c>
      <c r="E213" s="2" t="n">
        <v>46122</v>
      </c>
      <c r="F213" s="2" t="n">
        <v>46152</v>
      </c>
      <c r="G213" t="inlineStr">
        <is>
          <t>ELEUTERIO OCAÑA ROMERO</t>
        </is>
      </c>
      <c r="H213" t="inlineStr">
        <is>
          <t>G</t>
        </is>
      </c>
      <c r="I213" t="inlineStr">
        <is>
          <t>11</t>
        </is>
      </c>
      <c r="J213" t="n">
        <v>40</v>
      </c>
      <c r="K213" t="n">
        <v>54</v>
      </c>
      <c r="L213">
        <f>K213-J213</f>
        <v/>
      </c>
      <c r="M213" t="n">
        <v>14</v>
      </c>
      <c r="N213">
        <f>IF(L213&lt;&gt;M213,1,0)</f>
        <v/>
      </c>
      <c r="O213" t="n">
        <v>14</v>
      </c>
      <c r="R213" t="n">
        <v>25</v>
      </c>
      <c r="S213" t="n">
        <v>3</v>
      </c>
      <c r="T213" s="3">
        <f>SUM(O213:S213)</f>
        <v/>
      </c>
      <c r="U213" s="3">
        <f>IF(P213&lt;8,"USTED ESTÁ AL DÍA","USTED NO ESTÁ AL DÍA")</f>
        <v/>
      </c>
      <c r="V213" s="3" t="inlineStr">
        <is>
          <t>PAGO PRESENCIAL:  05/06 de 4-6 pm (LOCAL DEL PUEBLO), PAGO YAPE: 948 227 636</t>
        </is>
      </c>
      <c r="Y213">
        <f>T213+W213+X213</f>
        <v/>
      </c>
    </row>
    <row r="214" hidden="1" ht="15.75" customHeight="1" s="4">
      <c r="A214" s="3" t="n">
        <v>17108</v>
      </c>
      <c r="B214" s="3" t="inlineStr">
        <is>
          <t>11/04/2026 al 10/05/2026</t>
        </is>
      </c>
      <c r="C214" s="2" t="n">
        <v>46179</v>
      </c>
      <c r="D214" s="2" t="n">
        <v>46174</v>
      </c>
      <c r="E214" s="2" t="n">
        <v>46122</v>
      </c>
      <c r="F214" s="2" t="n">
        <v>46152</v>
      </c>
      <c r="G214" t="inlineStr">
        <is>
          <t>ERNESTINA VALLADARES TRUJILLO</t>
        </is>
      </c>
      <c r="H214" t="inlineStr">
        <is>
          <t>G</t>
        </is>
      </c>
      <c r="I214" t="inlineStr">
        <is>
          <t>12</t>
        </is>
      </c>
      <c r="J214" t="n">
        <v>31</v>
      </c>
      <c r="K214" t="n">
        <v>37</v>
      </c>
      <c r="L214">
        <f>K214-J214</f>
        <v/>
      </c>
      <c r="M214" t="n">
        <v>6</v>
      </c>
      <c r="N214">
        <f>IF(L214&lt;&gt;M214,1,0)</f>
        <v/>
      </c>
      <c r="O214" t="n">
        <v>6</v>
      </c>
      <c r="R214" t="n">
        <v>25</v>
      </c>
      <c r="S214" t="n">
        <v>3</v>
      </c>
      <c r="T214" s="3">
        <f>SUM(O214:S214)</f>
        <v/>
      </c>
      <c r="U214" s="3">
        <f>IF(P214&lt;8,"USTED ESTÁ AL DÍA","USTED NO ESTÁ AL DÍA")</f>
        <v/>
      </c>
      <c r="V214" s="3" t="inlineStr">
        <is>
          <t>PAGO PRESENCIAL:  05/06 de 4-6 pm (LOCAL DEL PUEBLO), PAGO YAPE: 948 227 636</t>
        </is>
      </c>
      <c r="X214" t="n">
        <v>75</v>
      </c>
      <c r="Y214">
        <f>T214+W214+X214</f>
        <v/>
      </c>
    </row>
    <row r="215" hidden="1" ht="15.75" customHeight="1" s="4">
      <c r="A215" s="3" t="n">
        <v>17109</v>
      </c>
      <c r="B215" s="3" t="inlineStr">
        <is>
          <t>11/04/2026 al 10/05/2026</t>
        </is>
      </c>
      <c r="C215" s="2" t="n">
        <v>46179</v>
      </c>
      <c r="D215" s="2" t="n">
        <v>46174</v>
      </c>
      <c r="E215" s="2" t="n">
        <v>46122</v>
      </c>
      <c r="F215" s="2" t="n">
        <v>46152</v>
      </c>
      <c r="G215" t="inlineStr">
        <is>
          <t>REYNALDO MELGAREJO VILCARINO</t>
        </is>
      </c>
      <c r="H215" t="inlineStr">
        <is>
          <t>G</t>
        </is>
      </c>
      <c r="I215" t="inlineStr">
        <is>
          <t>13</t>
        </is>
      </c>
      <c r="J215" t="n">
        <v>69</v>
      </c>
      <c r="K215" t="n">
        <v>101</v>
      </c>
      <c r="L215">
        <f>K215-J215</f>
        <v/>
      </c>
      <c r="M215" t="n">
        <v>32</v>
      </c>
      <c r="N215">
        <f>IF(L215&lt;&gt;M215,1,0)</f>
        <v/>
      </c>
      <c r="O215" t="n">
        <v>32</v>
      </c>
      <c r="R215" t="n">
        <v>25</v>
      </c>
      <c r="S215" t="n">
        <v>3</v>
      </c>
      <c r="T215" s="3">
        <f>SUM(O215:S215)</f>
        <v/>
      </c>
      <c r="U215" s="3">
        <f>IF(P215&lt;8,"USTED ESTÁ AL DÍA","USTED NO ESTÁ AL DÍA")</f>
        <v/>
      </c>
      <c r="V215" s="3" t="inlineStr">
        <is>
          <t>PAGO PRESENCIAL:  05/06 de 4-6 pm (LOCAL DEL PUEBLO), PAGO YAPE: 948 227 636</t>
        </is>
      </c>
      <c r="W215" t="n">
        <v>50</v>
      </c>
      <c r="Y215">
        <f>T215+W215+X215</f>
        <v/>
      </c>
    </row>
    <row r="216" hidden="1" ht="15.75" customHeight="1" s="4">
      <c r="A216" s="3" t="n">
        <v>17110</v>
      </c>
      <c r="B216" s="3" t="inlineStr">
        <is>
          <t>11/04/2026 al 10/05/2026</t>
        </is>
      </c>
      <c r="C216" s="2" t="n">
        <v>46179</v>
      </c>
      <c r="D216" s="2" t="n">
        <v>46174</v>
      </c>
      <c r="E216" s="2" t="n">
        <v>46122</v>
      </c>
      <c r="F216" s="2" t="n">
        <v>46152</v>
      </c>
      <c r="G216" t="inlineStr">
        <is>
          <t>MARGARITA GOMEZ BONIFACIO</t>
        </is>
      </c>
      <c r="H216" t="inlineStr">
        <is>
          <t>G</t>
        </is>
      </c>
      <c r="I216" t="inlineStr">
        <is>
          <t>14</t>
        </is>
      </c>
      <c r="J216" t="n">
        <v>52</v>
      </c>
      <c r="K216" t="n">
        <v>71</v>
      </c>
      <c r="L216">
        <f>K216-J216</f>
        <v/>
      </c>
      <c r="M216" t="n">
        <v>19</v>
      </c>
      <c r="N216">
        <f>IF(L216&lt;&gt;M216,1,0)</f>
        <v/>
      </c>
      <c r="O216" t="n">
        <v>19</v>
      </c>
      <c r="R216" t="n">
        <v>25</v>
      </c>
      <c r="S216" t="n">
        <v>3</v>
      </c>
      <c r="T216" s="3">
        <f>SUM(O216:S216)</f>
        <v/>
      </c>
      <c r="U216" s="3">
        <f>IF(P216&lt;8,"USTED ESTÁ AL DÍA","USTED NO ESTÁ AL DÍA")</f>
        <v/>
      </c>
      <c r="V216" s="3" t="inlineStr">
        <is>
          <t>PAGO PRESENCIAL:  05/06 de 4-6 pm (LOCAL DEL PUEBLO), PAGO YAPE: 948 227 636</t>
        </is>
      </c>
      <c r="W216" t="n">
        <v>50</v>
      </c>
      <c r="X216" t="n">
        <v>75</v>
      </c>
      <c r="Y216">
        <f>T216+W216+X216</f>
        <v/>
      </c>
    </row>
    <row r="217" hidden="1" ht="15.75" customHeight="1" s="4">
      <c r="A217" s="3" t="n">
        <v>17111</v>
      </c>
      <c r="B217" s="3" t="inlineStr">
        <is>
          <t>11/04/2026 al 10/05/2026</t>
        </is>
      </c>
      <c r="C217" s="2" t="n">
        <v>46179</v>
      </c>
      <c r="D217" s="2" t="n">
        <v>46174</v>
      </c>
      <c r="E217" s="2" t="n">
        <v>46122</v>
      </c>
      <c r="F217" s="2" t="n">
        <v>46152</v>
      </c>
      <c r="G217" t="inlineStr">
        <is>
          <t>BERNARDO AGUILAR HUAMAN</t>
        </is>
      </c>
      <c r="H217" t="inlineStr">
        <is>
          <t>G</t>
        </is>
      </c>
      <c r="I217" t="inlineStr">
        <is>
          <t>15</t>
        </is>
      </c>
      <c r="J217" t="n">
        <v>2225</v>
      </c>
      <c r="K217" t="n">
        <v>2235</v>
      </c>
      <c r="L217">
        <f>K217-J217</f>
        <v/>
      </c>
      <c r="M217" t="n">
        <v>10</v>
      </c>
      <c r="N217">
        <f>IF(L217&lt;&gt;M217,1,0)</f>
        <v/>
      </c>
      <c r="O217" t="n">
        <v>10</v>
      </c>
      <c r="S217" t="n">
        <v>3</v>
      </c>
      <c r="T217" s="3">
        <f>SUM(O217:S217)</f>
        <v/>
      </c>
      <c r="U217" s="3">
        <f>IF(P217&lt;8,"USTED ESTÁ AL DÍA","USTED NO ESTÁ AL DÍA")</f>
        <v/>
      </c>
      <c r="V217" s="3" t="inlineStr">
        <is>
          <t>PAGO PRESENCIAL:  05/06 de 4-6 pm (LOCAL DEL PUEBLO), PAGO YAPE: 948 227 636</t>
        </is>
      </c>
      <c r="W217" t="n">
        <v>50</v>
      </c>
      <c r="X217" t="n">
        <v>75</v>
      </c>
      <c r="Y217">
        <f>T217+W217+X217</f>
        <v/>
      </c>
    </row>
    <row r="218" hidden="1" ht="15.75" customHeight="1" s="4">
      <c r="A218" s="3" t="n">
        <v>17112</v>
      </c>
      <c r="B218" s="3" t="inlineStr">
        <is>
          <t>11/04/2026 al 10/05/2026</t>
        </is>
      </c>
      <c r="C218" s="2" t="n">
        <v>46179</v>
      </c>
      <c r="D218" s="2" t="n">
        <v>46174</v>
      </c>
      <c r="E218" s="2" t="n">
        <v>46122</v>
      </c>
      <c r="F218" s="2" t="n">
        <v>46152</v>
      </c>
      <c r="G218" t="inlineStr">
        <is>
          <t>CRISOSTOMO ALBORNOZ TICLIO</t>
        </is>
      </c>
      <c r="H218" t="inlineStr">
        <is>
          <t>G</t>
        </is>
      </c>
      <c r="I218" t="inlineStr">
        <is>
          <t>16</t>
        </is>
      </c>
      <c r="J218" t="n">
        <v>14</v>
      </c>
      <c r="K218" t="n">
        <v>20</v>
      </c>
      <c r="L218">
        <f>K218-J218</f>
        <v/>
      </c>
      <c r="M218" t="n">
        <v>6</v>
      </c>
      <c r="N218">
        <f>IF(L218&lt;&gt;M218,1,0)</f>
        <v/>
      </c>
      <c r="O218" t="n">
        <v>6</v>
      </c>
      <c r="S218" t="n">
        <v>3</v>
      </c>
      <c r="T218" s="3">
        <f>SUM(O218:S218)</f>
        <v/>
      </c>
      <c r="U218" s="3">
        <f>IF(P218&lt;8,"USTED ESTÁ AL DÍA","USTED NO ESTÁ AL DÍA")</f>
        <v/>
      </c>
      <c r="V218" s="3" t="inlineStr">
        <is>
          <t>PAGO PRESENCIAL:  05/06 de 4-6 pm (LOCAL DEL PUEBLO), PAGO YAPE: 948 227 636</t>
        </is>
      </c>
      <c r="Y218">
        <f>T218+W218+X218</f>
        <v/>
      </c>
    </row>
    <row r="219" hidden="1" ht="15.75" customHeight="1" s="4">
      <c r="A219" s="3" t="n">
        <v>17113</v>
      </c>
      <c r="B219" s="3" t="inlineStr">
        <is>
          <t>11/04/2026 al 10/05/2026</t>
        </is>
      </c>
      <c r="C219" s="2" t="n">
        <v>46179</v>
      </c>
      <c r="D219" s="2" t="n">
        <v>46174</v>
      </c>
      <c r="E219" s="2" t="n">
        <v>46122</v>
      </c>
      <c r="F219" s="2" t="n">
        <v>46152</v>
      </c>
      <c r="G219" t="inlineStr">
        <is>
          <t>CARLOS ALBERTO SIGUENAS SAENZ</t>
        </is>
      </c>
      <c r="H219" t="inlineStr">
        <is>
          <t>G</t>
        </is>
      </c>
      <c r="I219" t="inlineStr">
        <is>
          <t>17</t>
        </is>
      </c>
      <c r="J219" t="n">
        <v>68</v>
      </c>
      <c r="K219" t="n">
        <v>109</v>
      </c>
      <c r="L219">
        <f>K219-J219</f>
        <v/>
      </c>
      <c r="M219" t="n">
        <v>41</v>
      </c>
      <c r="N219">
        <f>IF(L219&lt;&gt;M219,1,0)</f>
        <v/>
      </c>
      <c r="O219" t="n">
        <v>41</v>
      </c>
      <c r="R219" t="n">
        <v>25</v>
      </c>
      <c r="S219" t="n">
        <v>3</v>
      </c>
      <c r="T219" s="3">
        <f>SUM(O219:S219)</f>
        <v/>
      </c>
      <c r="U219" s="3">
        <f>IF(P219&lt;8,"USTED ESTÁ AL DÍA","USTED NO ESTÁ AL DÍA")</f>
        <v/>
      </c>
      <c r="V219" s="3" t="inlineStr">
        <is>
          <t>PAGO PRESENCIAL:  05/06 de 4-6 pm (LOCAL DEL PUEBLO), PAGO YAPE: 948 227 636</t>
        </is>
      </c>
      <c r="W219" t="n">
        <v>50</v>
      </c>
      <c r="X219" t="n">
        <v>75</v>
      </c>
      <c r="Y219">
        <f>T219+W219+X219</f>
        <v/>
      </c>
    </row>
    <row r="220" hidden="1" ht="15.75" customHeight="1" s="4">
      <c r="A220" s="3" t="n">
        <v>17114</v>
      </c>
      <c r="B220" s="3" t="inlineStr">
        <is>
          <t>11/04/2026 al 10/05/2026</t>
        </is>
      </c>
      <c r="C220" s="2" t="n">
        <v>46179</v>
      </c>
      <c r="D220" s="2" t="n">
        <v>46174</v>
      </c>
      <c r="E220" s="2" t="n">
        <v>46122</v>
      </c>
      <c r="F220" s="2" t="n">
        <v>46152</v>
      </c>
      <c r="G220" t="inlineStr">
        <is>
          <t>BENITA LEON JARA</t>
        </is>
      </c>
      <c r="H220" t="inlineStr">
        <is>
          <t>G</t>
        </is>
      </c>
      <c r="I220" t="inlineStr">
        <is>
          <t>18</t>
        </is>
      </c>
      <c r="J220" t="n">
        <v>27</v>
      </c>
      <c r="K220" t="n">
        <v>29</v>
      </c>
      <c r="L220">
        <f>K220-J220</f>
        <v/>
      </c>
      <c r="M220" t="n">
        <v>5</v>
      </c>
      <c r="O220" t="n">
        <v>5</v>
      </c>
      <c r="R220" t="n">
        <v>25</v>
      </c>
      <c r="S220" t="n">
        <v>3</v>
      </c>
      <c r="T220" s="3">
        <f>SUM(O220:S220)</f>
        <v/>
      </c>
      <c r="U220" s="3">
        <f>IF(P220&lt;8,"USTED ESTÁ AL DÍA","USTED NO ESTÁ AL DÍA")</f>
        <v/>
      </c>
      <c r="V220" s="3" t="inlineStr">
        <is>
          <t>PAGO PRESENCIAL:  05/06 de 4-6 pm (LOCAL DEL PUEBLO), PAGO YAPE: 948 227 636</t>
        </is>
      </c>
      <c r="Y220">
        <f>T220+W220+X220</f>
        <v/>
      </c>
    </row>
    <row r="221" hidden="1" ht="15.75" customHeight="1" s="4">
      <c r="A221" s="3" t="n">
        <v>17115</v>
      </c>
      <c r="B221" s="3" t="inlineStr">
        <is>
          <t>11/04/2026 al 10/05/2026</t>
        </is>
      </c>
      <c r="C221" s="2" t="n">
        <v>46179</v>
      </c>
      <c r="D221" s="2" t="n">
        <v>46174</v>
      </c>
      <c r="E221" s="2" t="n">
        <v>46122</v>
      </c>
      <c r="F221" s="2" t="n">
        <v>46152</v>
      </c>
      <c r="G221" t="inlineStr">
        <is>
          <t>AUGUSTO ROMERO VALLADARES</t>
        </is>
      </c>
      <c r="H221" t="inlineStr">
        <is>
          <t>G</t>
        </is>
      </c>
      <c r="I221" t="inlineStr">
        <is>
          <t>19</t>
        </is>
      </c>
      <c r="J221" t="n">
        <v>49</v>
      </c>
      <c r="K221" t="n">
        <v>71</v>
      </c>
      <c r="L221">
        <f>K221-J221</f>
        <v/>
      </c>
      <c r="M221" t="n">
        <v>22</v>
      </c>
      <c r="N221">
        <f>IF(L221&lt;&gt;M221,1,0)</f>
        <v/>
      </c>
      <c r="O221" t="n">
        <v>22</v>
      </c>
      <c r="S221" t="n">
        <v>3</v>
      </c>
      <c r="T221" s="3">
        <f>SUM(O221:S221)</f>
        <v/>
      </c>
      <c r="U221" s="3">
        <f>IF(P221&lt;8,"USTED ESTÁ AL DÍA","USTED NO ESTÁ AL DÍA")</f>
        <v/>
      </c>
      <c r="V221" s="3" t="inlineStr">
        <is>
          <t>PAGO PRESENCIAL:  05/06 de 4-6 pm (LOCAL DEL PUEBLO), PAGO YAPE: 948 227 636</t>
        </is>
      </c>
      <c r="Y221">
        <f>T221+W221+X221</f>
        <v/>
      </c>
    </row>
    <row r="222" hidden="1" ht="15.75" customHeight="1" s="4">
      <c r="A222" s="3" t="n">
        <v>17116</v>
      </c>
      <c r="B222" s="3" t="inlineStr">
        <is>
          <t>11/04/2026 al 10/05/2026</t>
        </is>
      </c>
      <c r="C222" s="2" t="n">
        <v>46179</v>
      </c>
      <c r="D222" s="2" t="n">
        <v>46174</v>
      </c>
      <c r="E222" s="2" t="n">
        <v>46122</v>
      </c>
      <c r="F222" s="2" t="n">
        <v>46152</v>
      </c>
      <c r="G222" t="inlineStr">
        <is>
          <t>ANA ROMERO VALLADARES</t>
        </is>
      </c>
      <c r="H222" t="inlineStr">
        <is>
          <t>G</t>
        </is>
      </c>
      <c r="I222" t="inlineStr">
        <is>
          <t>20</t>
        </is>
      </c>
      <c r="J222" t="n">
        <v>48</v>
      </c>
      <c r="K222" t="n">
        <v>68</v>
      </c>
      <c r="L222">
        <f>K222-J222</f>
        <v/>
      </c>
      <c r="M222" t="n">
        <v>20</v>
      </c>
      <c r="N222">
        <f>IF(L222&lt;&gt;M222,1,0)</f>
        <v/>
      </c>
      <c r="O222" t="n">
        <v>20</v>
      </c>
      <c r="R222" t="n">
        <v>25</v>
      </c>
      <c r="S222" t="n">
        <v>3</v>
      </c>
      <c r="T222" s="3">
        <f>SUM(O222:S222)</f>
        <v/>
      </c>
      <c r="U222" s="3">
        <f>IF(P222&lt;8,"USTED ESTÁ AL DÍA","USTED NO ESTÁ AL DÍA")</f>
        <v/>
      </c>
      <c r="V222" s="3" t="inlineStr">
        <is>
          <t>PAGO PRESENCIAL:  05/06 de 4-6 pm (LOCAL DEL PUEBLO), PAGO YAPE: 948 227 636</t>
        </is>
      </c>
      <c r="Y222">
        <f>T222+W222+X222</f>
        <v/>
      </c>
    </row>
    <row r="223" hidden="1" ht="15.75" customHeight="1" s="4">
      <c r="A223" s="3" t="n">
        <v>17117</v>
      </c>
      <c r="B223" s="3" t="inlineStr">
        <is>
          <t>11/04/2026 al 10/05/2026</t>
        </is>
      </c>
      <c r="C223" s="2" t="n">
        <v>46179</v>
      </c>
      <c r="D223" s="2" t="n">
        <v>46174</v>
      </c>
      <c r="E223" s="2" t="n">
        <v>46122</v>
      </c>
      <c r="F223" s="2" t="n">
        <v>46152</v>
      </c>
      <c r="G223" t="inlineStr">
        <is>
          <t>NELSON COSME GARCILAZO</t>
        </is>
      </c>
      <c r="H223" t="inlineStr">
        <is>
          <t>G</t>
        </is>
      </c>
      <c r="I223" t="inlineStr">
        <is>
          <t>21</t>
        </is>
      </c>
      <c r="J223" t="n">
        <v>1732</v>
      </c>
      <c r="K223" t="n">
        <v>1761</v>
      </c>
      <c r="L223">
        <f>K223-J223</f>
        <v/>
      </c>
      <c r="M223" t="n">
        <v>29</v>
      </c>
      <c r="N223">
        <f>IF(L223&lt;&gt;M223,1,0)</f>
        <v/>
      </c>
      <c r="O223" t="n">
        <v>29</v>
      </c>
      <c r="R223" t="n">
        <v>50</v>
      </c>
      <c r="S223" t="n">
        <v>3</v>
      </c>
      <c r="T223" s="3">
        <f>SUM(O223:S223)</f>
        <v/>
      </c>
      <c r="U223" s="3">
        <f>IF(P223&lt;8,"USTED ESTÁ AL DÍA","USTED NO ESTÁ AL DÍA")</f>
        <v/>
      </c>
      <c r="V223" s="3" t="inlineStr">
        <is>
          <t>PAGO PRESENCIAL:  05/06 de 4-6 pm (LOCAL DEL PUEBLO), PAGO YAPE: 948 227 636</t>
        </is>
      </c>
      <c r="Y223">
        <f>T223+W223+X223</f>
        <v/>
      </c>
    </row>
    <row r="224" hidden="1" ht="15.75" customHeight="1" s="4">
      <c r="A224" s="3" t="n">
        <v>17118</v>
      </c>
      <c r="B224" s="3" t="inlineStr">
        <is>
          <t>11/04/2026 al 10/05/2026</t>
        </is>
      </c>
      <c r="C224" s="2" t="n">
        <v>46179</v>
      </c>
      <c r="D224" s="2" t="n">
        <v>46174</v>
      </c>
      <c r="E224" s="2" t="n">
        <v>46122</v>
      </c>
      <c r="F224" s="2" t="n">
        <v>46152</v>
      </c>
      <c r="G224" t="inlineStr">
        <is>
          <t>HIPOLITO RAMIREZ CENTENO</t>
        </is>
      </c>
      <c r="H224" t="inlineStr">
        <is>
          <t>G</t>
        </is>
      </c>
      <c r="I224" t="inlineStr">
        <is>
          <t>23</t>
        </is>
      </c>
      <c r="J224" t="n">
        <v>336</v>
      </c>
      <c r="K224" t="n">
        <v>344</v>
      </c>
      <c r="L224">
        <f>K224-J224</f>
        <v/>
      </c>
      <c r="M224" t="n">
        <v>8</v>
      </c>
      <c r="N224">
        <f>IF(L224&lt;&gt;M224,1,0)</f>
        <v/>
      </c>
      <c r="O224" t="n">
        <v>8</v>
      </c>
      <c r="S224" t="n">
        <v>3</v>
      </c>
      <c r="T224" s="3">
        <f>SUM(O224:S224)</f>
        <v/>
      </c>
      <c r="U224" s="3">
        <f>IF(P224&lt;8,"USTED ESTÁ AL DÍA","USTED NO ESTÁ AL DÍA")</f>
        <v/>
      </c>
      <c r="V224" s="3" t="inlineStr">
        <is>
          <t>PAGO PRESENCIAL:  05/06 de 4-6 pm (LOCAL DEL PUEBLO), PAGO YAPE: 948 227 636</t>
        </is>
      </c>
      <c r="W224" t="n">
        <v>50</v>
      </c>
      <c r="Y224">
        <f>T224+W224+X224</f>
        <v/>
      </c>
    </row>
    <row r="225" hidden="1" ht="15.75" customHeight="1" s="4">
      <c r="A225" s="3" t="n">
        <v>17119</v>
      </c>
      <c r="B225" s="3" t="inlineStr">
        <is>
          <t>11/04/2026 al 10/05/2026</t>
        </is>
      </c>
      <c r="C225" s="2" t="n">
        <v>46179</v>
      </c>
      <c r="D225" s="2" t="n">
        <v>46174</v>
      </c>
      <c r="E225" s="2" t="n">
        <v>46122</v>
      </c>
      <c r="F225" s="2" t="n">
        <v>46152</v>
      </c>
      <c r="G225" t="inlineStr">
        <is>
          <t>WILDA CLEOFE ROMERO VALLADARES</t>
        </is>
      </c>
      <c r="H225" t="inlineStr">
        <is>
          <t>G</t>
        </is>
      </c>
      <c r="I225" t="inlineStr">
        <is>
          <t>10</t>
        </is>
      </c>
      <c r="L225">
        <f>K225-J225</f>
        <v/>
      </c>
      <c r="S225" t="n">
        <v>0</v>
      </c>
      <c r="T225" s="3">
        <f>SUM(O225:S225)</f>
        <v/>
      </c>
      <c r="U225" s="3">
        <f>IF(P225&lt;8,"USTED ESTÁ AL DÍA","USTED NO ESTÁ AL DÍA")</f>
        <v/>
      </c>
      <c r="V225" s="3" t="inlineStr">
        <is>
          <t>PAGO PRESENCIAL:  05/06 de 4-6 pm (LOCAL DEL PUEBLO), PAGO YAPE: 948 227 636</t>
        </is>
      </c>
      <c r="W225" t="n">
        <v>50</v>
      </c>
      <c r="X225" t="n">
        <v>75</v>
      </c>
      <c r="Y225">
        <f>T225+W225+X225</f>
        <v/>
      </c>
    </row>
    <row r="226" hidden="1" ht="15.75" customHeight="1" s="4">
      <c r="A226" s="3" t="n">
        <v>17120</v>
      </c>
      <c r="B226" s="3" t="inlineStr">
        <is>
          <t>11/04/2026 al 10/05/2026</t>
        </is>
      </c>
      <c r="C226" s="2" t="n">
        <v>46179</v>
      </c>
      <c r="D226" s="2" t="n">
        <v>46174</v>
      </c>
      <c r="E226" s="2" t="n">
        <v>46122</v>
      </c>
      <c r="F226" s="2" t="n">
        <v>46152</v>
      </c>
      <c r="G226" t="inlineStr">
        <is>
          <t>CRESOSTO ALBORNOZ TICLLIO</t>
        </is>
      </c>
      <c r="H226" t="inlineStr">
        <is>
          <t>G</t>
        </is>
      </c>
      <c r="I226" t="inlineStr">
        <is>
          <t>16B</t>
        </is>
      </c>
      <c r="L226">
        <f>K226-J226</f>
        <v/>
      </c>
      <c r="S226" t="n">
        <v>0</v>
      </c>
      <c r="T226" s="3">
        <f>SUM(O226:S226)</f>
        <v/>
      </c>
      <c r="U226" s="3">
        <f>IF(P226&lt;8,"USTED ESTÁ AL DÍA","USTED NO ESTÁ AL DÍA")</f>
        <v/>
      </c>
      <c r="V226" s="3" t="inlineStr">
        <is>
          <t>PAGO PRESENCIAL:  05/06 de 4-6 pm (LOCAL DEL PUEBLO), PAGO YAPE: 948 227 636</t>
        </is>
      </c>
      <c r="X226" t="n">
        <v>50</v>
      </c>
      <c r="Y226">
        <f>T226+W226+X226</f>
        <v/>
      </c>
    </row>
    <row r="227" hidden="1" ht="15.75" customHeight="1" s="4">
      <c r="A227" s="3" t="n">
        <v>17121</v>
      </c>
      <c r="B227" s="3" t="inlineStr">
        <is>
          <t>11/04/2026 al 10/05/2026</t>
        </is>
      </c>
      <c r="C227" s="2" t="n">
        <v>46179</v>
      </c>
      <c r="D227" s="2" t="n">
        <v>46174</v>
      </c>
      <c r="E227" s="2" t="n">
        <v>46122</v>
      </c>
      <c r="F227" s="2" t="n">
        <v>46152</v>
      </c>
      <c r="G227" t="inlineStr">
        <is>
          <t>ELOY SIGUEÑAS UGARTE</t>
        </is>
      </c>
      <c r="H227" t="inlineStr">
        <is>
          <t>G</t>
        </is>
      </c>
      <c r="I227" t="inlineStr">
        <is>
          <t>16C</t>
        </is>
      </c>
      <c r="L227">
        <f>K227-J227</f>
        <v/>
      </c>
      <c r="S227" t="n">
        <v>0</v>
      </c>
      <c r="T227" s="3">
        <f>SUM(O227:S227)</f>
        <v/>
      </c>
      <c r="U227" s="3">
        <f>IF(P227&lt;8,"USTED ESTÁ AL DÍA","USTED NO ESTÁ AL DÍA")</f>
        <v/>
      </c>
      <c r="V227" s="3" t="inlineStr">
        <is>
          <t>PAGO PRESENCIAL:  05/06 de 4-6 pm (LOCAL DEL PUEBLO), PAGO YAPE: 948 227 636</t>
        </is>
      </c>
      <c r="X227" t="n">
        <v>50</v>
      </c>
      <c r="Y227">
        <f>T227+W227+X227</f>
        <v/>
      </c>
    </row>
    <row r="228" hidden="1" ht="15.75" customHeight="1" s="4">
      <c r="A228" s="3" t="n">
        <v>17122</v>
      </c>
      <c r="B228" s="3" t="inlineStr">
        <is>
          <t>11/04/2026 al 10/05/2026</t>
        </is>
      </c>
      <c r="C228" s="2" t="n">
        <v>46179</v>
      </c>
      <c r="D228" s="2" t="n">
        <v>46174</v>
      </c>
      <c r="E228" s="2" t="n">
        <v>46122</v>
      </c>
      <c r="F228" s="2" t="n">
        <v>46152</v>
      </c>
      <c r="G228" t="inlineStr">
        <is>
          <t>GILBERTO LUIS MEZA</t>
        </is>
      </c>
      <c r="H228" t="inlineStr">
        <is>
          <t>G1</t>
        </is>
      </c>
      <c r="I228" t="inlineStr">
        <is>
          <t>1</t>
        </is>
      </c>
      <c r="J228" t="n">
        <v>113</v>
      </c>
      <c r="K228" t="n">
        <v>116</v>
      </c>
      <c r="L228">
        <f>K228-J228</f>
        <v/>
      </c>
      <c r="M228" t="n">
        <v>5</v>
      </c>
      <c r="O228" t="n">
        <v>5</v>
      </c>
      <c r="S228" t="n">
        <v>3</v>
      </c>
      <c r="T228" s="3">
        <f>SUM(O228:S228)</f>
        <v/>
      </c>
      <c r="U228" s="3">
        <f>IF(P228&lt;8,"USTED ESTÁ AL DÍA","USTED NO ESTÁ AL DÍA")</f>
        <v/>
      </c>
      <c r="V228" s="3" t="inlineStr">
        <is>
          <t>PAGO PRESENCIAL:  05/06 de 4-6 pm (LOCAL DEL PUEBLO), PAGO YAPE: 948 227 636</t>
        </is>
      </c>
      <c r="Y228">
        <f>T228+W228+X228</f>
        <v/>
      </c>
    </row>
    <row r="229" hidden="1" ht="15.75" customHeight="1" s="4">
      <c r="A229" s="3" t="n">
        <v>17123</v>
      </c>
      <c r="B229" s="3" t="inlineStr">
        <is>
          <t>11/04/2026 al 10/05/2026</t>
        </is>
      </c>
      <c r="C229" s="2" t="n">
        <v>46179</v>
      </c>
      <c r="D229" s="2" t="n">
        <v>46174</v>
      </c>
      <c r="E229" s="2" t="n">
        <v>46122</v>
      </c>
      <c r="F229" s="2" t="n">
        <v>46152</v>
      </c>
      <c r="G229" t="inlineStr">
        <is>
          <t>VIKY SALES PROLEON</t>
        </is>
      </c>
      <c r="H229" t="inlineStr">
        <is>
          <t>G1</t>
        </is>
      </c>
      <c r="I229" t="inlineStr">
        <is>
          <t>2</t>
        </is>
      </c>
      <c r="J229" t="n">
        <v>621</v>
      </c>
      <c r="K229" t="n">
        <v>627</v>
      </c>
      <c r="L229">
        <f>K229-J229</f>
        <v/>
      </c>
      <c r="M229" t="n">
        <v>6</v>
      </c>
      <c r="N229">
        <f>IF(L229&lt;&gt;M229,1,0)</f>
        <v/>
      </c>
      <c r="O229" t="n">
        <v>6</v>
      </c>
      <c r="S229" t="n">
        <v>3</v>
      </c>
      <c r="T229" s="3">
        <f>SUM(O229:S229)</f>
        <v/>
      </c>
      <c r="U229" s="3">
        <f>IF(P229&lt;8,"USTED ESTÁ AL DÍA","USTED NO ESTÁ AL DÍA")</f>
        <v/>
      </c>
      <c r="V229" s="3" t="inlineStr">
        <is>
          <t>PAGO PRESENCIAL:  05/06 de 4-6 pm (LOCAL DEL PUEBLO), PAGO YAPE: 948 227 636</t>
        </is>
      </c>
      <c r="W229" t="n">
        <v>0</v>
      </c>
      <c r="X229" t="n">
        <v>50</v>
      </c>
      <c r="Y229">
        <f>T229+W229+X229</f>
        <v/>
      </c>
    </row>
    <row r="230" hidden="1" ht="15.75" customHeight="1" s="4">
      <c r="A230" s="3" t="n">
        <v>17124</v>
      </c>
      <c r="B230" s="3" t="inlineStr">
        <is>
          <t>11/04/2026 al 10/05/2026</t>
        </is>
      </c>
      <c r="C230" s="2" t="n">
        <v>46179</v>
      </c>
      <c r="D230" s="2" t="n">
        <v>46174</v>
      </c>
      <c r="E230" s="2" t="n">
        <v>46122</v>
      </c>
      <c r="F230" s="2" t="n">
        <v>46152</v>
      </c>
      <c r="G230" t="inlineStr">
        <is>
          <t>ROSSANA SAMARITANO HEREDIA</t>
        </is>
      </c>
      <c r="H230" t="inlineStr">
        <is>
          <t>G1</t>
        </is>
      </c>
      <c r="I230" t="inlineStr">
        <is>
          <t>4</t>
        </is>
      </c>
      <c r="J230" t="n">
        <v>1050</v>
      </c>
      <c r="K230" t="n">
        <v>1054</v>
      </c>
      <c r="L230">
        <f>K230-J230</f>
        <v/>
      </c>
      <c r="M230" t="n">
        <v>5</v>
      </c>
      <c r="O230" t="n">
        <v>5</v>
      </c>
      <c r="S230" t="n">
        <v>3</v>
      </c>
      <c r="T230" s="3">
        <f>SUM(O230:S230)</f>
        <v/>
      </c>
      <c r="U230" s="3">
        <f>IF(P230&lt;8,"USTED ESTÁ AL DÍA","USTED NO ESTÁ AL DÍA")</f>
        <v/>
      </c>
      <c r="V230" s="3" t="inlineStr">
        <is>
          <t>PAGO PRESENCIAL:  05/06 de 4-6 pm (LOCAL DEL PUEBLO), PAGO YAPE: 948 227 636</t>
        </is>
      </c>
      <c r="X230" t="n">
        <v>50</v>
      </c>
      <c r="Y230">
        <f>T230+W230+X230</f>
        <v/>
      </c>
    </row>
    <row r="231" hidden="1" ht="15.75" customHeight="1" s="4">
      <c r="A231" s="3" t="n">
        <v>17125</v>
      </c>
      <c r="B231" s="3" t="inlineStr">
        <is>
          <t>11/04/2026 al 10/05/2026</t>
        </is>
      </c>
      <c r="C231" s="2" t="n">
        <v>46179</v>
      </c>
      <c r="D231" s="2" t="n">
        <v>46174</v>
      </c>
      <c r="E231" s="2" t="n">
        <v>46122</v>
      </c>
      <c r="F231" s="2" t="n">
        <v>46152</v>
      </c>
      <c r="G231" t="inlineStr">
        <is>
          <t>JHON SAMARITANO HEREDIA</t>
        </is>
      </c>
      <c r="H231" t="inlineStr">
        <is>
          <t>G1</t>
        </is>
      </c>
      <c r="I231" t="inlineStr">
        <is>
          <t>5</t>
        </is>
      </c>
      <c r="J231" t="n">
        <v>20</v>
      </c>
      <c r="K231" t="n">
        <v>20</v>
      </c>
      <c r="L231">
        <f>K231-J231</f>
        <v/>
      </c>
      <c r="M231" t="n">
        <v>5</v>
      </c>
      <c r="O231" t="n">
        <v>5</v>
      </c>
      <c r="R231" t="n">
        <v>25</v>
      </c>
      <c r="S231" t="n">
        <v>3</v>
      </c>
      <c r="T231" s="3">
        <f>SUM(O231:S231)</f>
        <v/>
      </c>
      <c r="U231" s="3">
        <f>IF(P231&lt;8,"USTED ESTÁ AL DÍA","USTED NO ESTÁ AL DÍA")</f>
        <v/>
      </c>
      <c r="V231" s="3" t="inlineStr">
        <is>
          <t>PAGO PRESENCIAL:  05/06 de 4-6 pm (LOCAL DEL PUEBLO), PAGO YAPE: 948 227 636</t>
        </is>
      </c>
      <c r="W231" t="n">
        <v>30</v>
      </c>
      <c r="X231" t="n">
        <v>50</v>
      </c>
      <c r="Y231">
        <f>T231+W231+X231</f>
        <v/>
      </c>
    </row>
    <row r="232" hidden="1" ht="15.75" customHeight="1" s="4">
      <c r="A232" s="3" t="n">
        <v>17126</v>
      </c>
      <c r="B232" s="3" t="inlineStr">
        <is>
          <t>11/04/2026 al 10/05/2026</t>
        </is>
      </c>
      <c r="C232" s="2" t="n">
        <v>46179</v>
      </c>
      <c r="D232" s="2" t="n">
        <v>46174</v>
      </c>
      <c r="E232" s="2" t="n">
        <v>46122</v>
      </c>
      <c r="F232" s="2" t="n">
        <v>46152</v>
      </c>
      <c r="G232" t="inlineStr">
        <is>
          <t>ANA GONZALES SOTO</t>
        </is>
      </c>
      <c r="H232" t="inlineStr">
        <is>
          <t>G1</t>
        </is>
      </c>
      <c r="I232" t="inlineStr">
        <is>
          <t>3</t>
        </is>
      </c>
      <c r="J232" t="n">
        <v>910</v>
      </c>
      <c r="K232" t="n">
        <v>916</v>
      </c>
      <c r="L232">
        <f>K232-J232</f>
        <v/>
      </c>
      <c r="M232" t="n">
        <v>6</v>
      </c>
      <c r="N232">
        <f>IF(L232&lt;&gt;M232,1,0)</f>
        <v/>
      </c>
      <c r="O232" t="n">
        <v>6</v>
      </c>
      <c r="P232" t="n">
        <v>9</v>
      </c>
      <c r="S232" t="n">
        <v>3</v>
      </c>
      <c r="T232" s="3">
        <f>SUM(O232:S232)</f>
        <v/>
      </c>
      <c r="U232" s="3">
        <f>IF(P232&lt;8,"USTED ESTÁ AL DÍA","USTED NO ESTÁ AL DÍA")</f>
        <v/>
      </c>
      <c r="V232" s="3" t="inlineStr">
        <is>
          <t>PAGO PRESENCIAL:  05/06 de 4-6 pm (LOCAL DEL PUEBLO), PAGO YAPE: 948 227 636</t>
        </is>
      </c>
      <c r="W232" t="n">
        <v>50</v>
      </c>
      <c r="Y232">
        <f>T232+W232+X232</f>
        <v/>
      </c>
    </row>
    <row r="233" hidden="1" ht="15.75" customHeight="1" s="4">
      <c r="A233" s="3" t="n">
        <v>17127</v>
      </c>
      <c r="B233" s="3" t="inlineStr">
        <is>
          <t>11/04/2026 al 10/05/2026</t>
        </is>
      </c>
      <c r="C233" s="2" t="n">
        <v>46179</v>
      </c>
      <c r="D233" s="2" t="n">
        <v>46174</v>
      </c>
      <c r="E233" s="2" t="n">
        <v>46122</v>
      </c>
      <c r="F233" s="2" t="n">
        <v>46152</v>
      </c>
      <c r="G233" t="inlineStr">
        <is>
          <t>YOLIT VILLANUEVA ALEGRIA</t>
        </is>
      </c>
      <c r="H233" t="inlineStr">
        <is>
          <t>G1</t>
        </is>
      </c>
      <c r="I233" t="inlineStr">
        <is>
          <t>13</t>
        </is>
      </c>
      <c r="L233">
        <f>K233-J233</f>
        <v/>
      </c>
      <c r="S233" t="n">
        <v>0</v>
      </c>
      <c r="T233" s="3">
        <f>SUM(O233:S233)</f>
        <v/>
      </c>
      <c r="U233" s="3">
        <f>IF(P233&lt;8,"USTED ESTÁ AL DÍA","USTED NO ESTÁ AL DÍA")</f>
        <v/>
      </c>
      <c r="V233" s="3" t="inlineStr">
        <is>
          <t>PAGO PRESENCIAL:  05/06 de 4-6 pm (LOCAL DEL PUEBLO), PAGO YAPE: 948 227 636</t>
        </is>
      </c>
      <c r="W233" t="n">
        <v>50</v>
      </c>
      <c r="Y233">
        <f>T233+W233+X233</f>
        <v/>
      </c>
    </row>
    <row r="234" hidden="1" ht="15.75" customHeight="1" s="4">
      <c r="A234" s="3" t="n">
        <v>17128</v>
      </c>
      <c r="B234" s="3" t="inlineStr">
        <is>
          <t>11/04/2026 al 10/05/2026</t>
        </is>
      </c>
      <c r="C234" s="2" t="n">
        <v>46179</v>
      </c>
      <c r="D234" s="2" t="n">
        <v>46174</v>
      </c>
      <c r="E234" s="2" t="n">
        <v>46122</v>
      </c>
      <c r="F234" s="2" t="n">
        <v>46152</v>
      </c>
      <c r="G234" t="inlineStr">
        <is>
          <t>EUGENIA HERREDIA DE SAMARITANO</t>
        </is>
      </c>
      <c r="H234" t="inlineStr">
        <is>
          <t>G1</t>
        </is>
      </c>
      <c r="I234" t="inlineStr">
        <is>
          <t>6</t>
        </is>
      </c>
      <c r="L234">
        <f>K234-J234</f>
        <v/>
      </c>
      <c r="S234" t="n">
        <v>0</v>
      </c>
      <c r="T234" s="3">
        <f>SUM(O234:S234)</f>
        <v/>
      </c>
      <c r="U234" s="3">
        <f>IF(P234&lt;8,"USTED ESTÁ AL DÍA","USTED NO ESTÁ AL DÍA")</f>
        <v/>
      </c>
      <c r="V234" s="3" t="inlineStr">
        <is>
          <t>PAGO PRESENCIAL:  05/06 de 4-6 pm (LOCAL DEL PUEBLO), PAGO YAPE: 948 227 636</t>
        </is>
      </c>
      <c r="X234" t="n">
        <v>50</v>
      </c>
      <c r="Y234">
        <f>T234+W234+X234</f>
        <v/>
      </c>
    </row>
    <row r="235" hidden="1" ht="15.75" customHeight="1" s="4">
      <c r="A235" s="3" t="n">
        <v>17129</v>
      </c>
      <c r="B235" s="3" t="inlineStr">
        <is>
          <t>11/04/2026 al 10/05/2026</t>
        </is>
      </c>
      <c r="C235" s="2" t="n">
        <v>46179</v>
      </c>
      <c r="D235" s="2" t="n">
        <v>46174</v>
      </c>
      <c r="E235" s="2" t="n">
        <v>46122</v>
      </c>
      <c r="F235" s="2" t="n">
        <v>46152</v>
      </c>
      <c r="G235" t="inlineStr">
        <is>
          <t>YONY JOSE SAMARITANO HERREDIA</t>
        </is>
      </c>
      <c r="H235" t="inlineStr">
        <is>
          <t>G1</t>
        </is>
      </c>
      <c r="I235" t="inlineStr">
        <is>
          <t>7</t>
        </is>
      </c>
      <c r="L235">
        <f>K235-J235</f>
        <v/>
      </c>
      <c r="S235" t="n">
        <v>0</v>
      </c>
      <c r="T235" s="3">
        <f>SUM(O235:S235)</f>
        <v/>
      </c>
      <c r="U235" s="3">
        <f>IF(P235&lt;8,"USTED ESTÁ AL DÍA","USTED NO ESTÁ AL DÍA")</f>
        <v/>
      </c>
      <c r="V235" s="3" t="inlineStr">
        <is>
          <t>PAGO PRESENCIAL:  05/06 de 4-6 pm (LOCAL DEL PUEBLO), PAGO YAPE: 948 227 636</t>
        </is>
      </c>
      <c r="W235" t="n">
        <v>50</v>
      </c>
      <c r="X235" t="n">
        <v>50</v>
      </c>
      <c r="Y235">
        <f>T235+W235+X235</f>
        <v/>
      </c>
    </row>
    <row r="236" hidden="1" ht="15.75" customHeight="1" s="4">
      <c r="A236" s="3" t="n">
        <v>17130</v>
      </c>
      <c r="B236" s="3" t="inlineStr">
        <is>
          <t>11/04/2026 al 10/05/2026</t>
        </is>
      </c>
      <c r="C236" s="2" t="n">
        <v>46179</v>
      </c>
      <c r="D236" s="2" t="n">
        <v>46174</v>
      </c>
      <c r="E236" s="2" t="n">
        <v>46122</v>
      </c>
      <c r="F236" s="2" t="n">
        <v>46152</v>
      </c>
      <c r="G236" t="inlineStr">
        <is>
          <t>JOSE FRANCISCO SAMARITANO HUAPAYA</t>
        </is>
      </c>
      <c r="H236" t="inlineStr">
        <is>
          <t>G1</t>
        </is>
      </c>
      <c r="I236" t="inlineStr">
        <is>
          <t>8</t>
        </is>
      </c>
      <c r="L236">
        <f>K236-J236</f>
        <v/>
      </c>
      <c r="S236" t="n">
        <v>0</v>
      </c>
      <c r="T236" s="3">
        <f>SUM(O236:S236)</f>
        <v/>
      </c>
      <c r="U236" s="3">
        <f>IF(P236&lt;8,"USTED ESTÁ AL DÍA","USTED NO ESTÁ AL DÍA")</f>
        <v/>
      </c>
      <c r="V236" s="3" t="inlineStr">
        <is>
          <t>PAGO PRESENCIAL:  05/06 de 4-6 pm (LOCAL DEL PUEBLO), PAGO YAPE: 948 227 636</t>
        </is>
      </c>
      <c r="W236" t="n">
        <v>30</v>
      </c>
      <c r="X236" t="n">
        <v>50</v>
      </c>
      <c r="Y236">
        <f>T236+W236+X236</f>
        <v/>
      </c>
    </row>
    <row r="237" hidden="1" ht="15.75" customHeight="1" s="4">
      <c r="A237" s="3" t="n">
        <v>17131</v>
      </c>
      <c r="B237" s="3" t="inlineStr">
        <is>
          <t>11/04/2026 al 10/05/2026</t>
        </is>
      </c>
      <c r="C237" s="2" t="n">
        <v>46179</v>
      </c>
      <c r="D237" s="2" t="n">
        <v>46174</v>
      </c>
      <c r="E237" s="2" t="n">
        <v>46122</v>
      </c>
      <c r="F237" s="2" t="n">
        <v>46152</v>
      </c>
      <c r="G237" t="inlineStr">
        <is>
          <t>TANIA SAMARITANO HERREDIA</t>
        </is>
      </c>
      <c r="H237" t="inlineStr">
        <is>
          <t>G1</t>
        </is>
      </c>
      <c r="I237" t="inlineStr">
        <is>
          <t>9</t>
        </is>
      </c>
      <c r="L237">
        <f>K237-J237</f>
        <v/>
      </c>
      <c r="S237" t="n">
        <v>0</v>
      </c>
      <c r="T237" s="3">
        <f>SUM(O237:S237)</f>
        <v/>
      </c>
      <c r="U237" s="3">
        <f>IF(P237&lt;8,"USTED ESTÁ AL DÍA","USTED NO ESTÁ AL DÍA")</f>
        <v/>
      </c>
      <c r="V237" s="3" t="inlineStr">
        <is>
          <t>PAGO PRESENCIAL:  05/06 de 4-6 pm (LOCAL DEL PUEBLO), PAGO YAPE: 948 227 636</t>
        </is>
      </c>
      <c r="W237" t="n">
        <v>30</v>
      </c>
      <c r="X237" t="n">
        <v>75</v>
      </c>
      <c r="Y237">
        <f>T237+W237+X237</f>
        <v/>
      </c>
    </row>
    <row r="238" hidden="1" ht="15.75" customHeight="1" s="4">
      <c r="A238" s="3" t="n">
        <v>17132</v>
      </c>
      <c r="B238" s="3" t="inlineStr">
        <is>
          <t>11/04/2026 al 10/05/2026</t>
        </is>
      </c>
      <c r="C238" s="2" t="n">
        <v>46179</v>
      </c>
      <c r="D238" s="2" t="n">
        <v>46174</v>
      </c>
      <c r="E238" s="2" t="n">
        <v>46122</v>
      </c>
      <c r="F238" s="2" t="n">
        <v>46152</v>
      </c>
      <c r="G238" t="inlineStr">
        <is>
          <t>ANTONY JAVIER CRUZ SAMARITANO</t>
        </is>
      </c>
      <c r="H238" t="inlineStr">
        <is>
          <t>G1</t>
        </is>
      </c>
      <c r="I238" t="inlineStr">
        <is>
          <t>10</t>
        </is>
      </c>
      <c r="L238">
        <f>K238-J238</f>
        <v/>
      </c>
      <c r="S238" t="n">
        <v>0</v>
      </c>
      <c r="T238" s="3">
        <f>SUM(O238:S238)</f>
        <v/>
      </c>
      <c r="U238" s="3">
        <f>IF(P238&lt;8,"USTED ESTÁ AL DÍA","USTED NO ESTÁ AL DÍA")</f>
        <v/>
      </c>
      <c r="V238" s="3" t="inlineStr">
        <is>
          <t>PAGO PRESENCIAL:  05/06 de 4-6 pm (LOCAL DEL PUEBLO), PAGO YAPE: 948 227 636</t>
        </is>
      </c>
      <c r="W238" t="n">
        <v>50</v>
      </c>
      <c r="X238" t="n">
        <v>75</v>
      </c>
      <c r="Y238">
        <f>T238+W238+X238</f>
        <v/>
      </c>
    </row>
    <row r="239" hidden="1" ht="15.75" customHeight="1" s="4">
      <c r="A239" s="3" t="n">
        <v>17133</v>
      </c>
      <c r="B239" s="3" t="inlineStr">
        <is>
          <t>11/04/2026 al 10/05/2026</t>
        </is>
      </c>
      <c r="C239" s="2" t="n">
        <v>46179</v>
      </c>
      <c r="D239" s="2" t="n">
        <v>46174</v>
      </c>
      <c r="E239" s="2" t="n">
        <v>46122</v>
      </c>
      <c r="F239" s="2" t="n">
        <v>46152</v>
      </c>
      <c r="G239" t="inlineStr">
        <is>
          <t>IESIY BELEN LOPEZ SAMARITANO</t>
        </is>
      </c>
      <c r="H239" t="inlineStr">
        <is>
          <t>G1</t>
        </is>
      </c>
      <c r="I239" t="inlineStr">
        <is>
          <t>11</t>
        </is>
      </c>
      <c r="L239">
        <f>K239-J239</f>
        <v/>
      </c>
      <c r="S239" t="n">
        <v>0</v>
      </c>
      <c r="T239" s="3">
        <f>SUM(O239:S239)</f>
        <v/>
      </c>
      <c r="U239" s="3">
        <f>IF(P239&lt;8,"USTED ESTÁ AL DÍA","USTED NO ESTÁ AL DÍA")</f>
        <v/>
      </c>
      <c r="V239" s="3" t="inlineStr">
        <is>
          <t>PAGO PRESENCIAL:  05/06 de 4-6 pm (LOCAL DEL PUEBLO), PAGO YAPE: 948 227 636</t>
        </is>
      </c>
      <c r="W239" t="n">
        <v>30</v>
      </c>
      <c r="X239" t="n">
        <v>50</v>
      </c>
      <c r="Y239">
        <f>T239+W239+X239</f>
        <v/>
      </c>
    </row>
    <row r="240" hidden="1" ht="15.75" customHeight="1" s="4">
      <c r="A240" s="3" t="n">
        <v>17134</v>
      </c>
      <c r="B240" s="3" t="inlineStr">
        <is>
          <t>11/04/2026 al 10/05/2026</t>
        </is>
      </c>
      <c r="C240" s="2" t="n">
        <v>46179</v>
      </c>
      <c r="D240" s="2" t="n">
        <v>46174</v>
      </c>
      <c r="E240" s="2" t="n">
        <v>46122</v>
      </c>
      <c r="F240" s="2" t="n">
        <v>46152</v>
      </c>
      <c r="G240" t="inlineStr">
        <is>
          <t>MARUJA AMALIA SAMARUTANIO</t>
        </is>
      </c>
      <c r="H240" t="inlineStr">
        <is>
          <t>G1</t>
        </is>
      </c>
      <c r="I240" t="inlineStr">
        <is>
          <t>12</t>
        </is>
      </c>
      <c r="L240">
        <f>K240-J240</f>
        <v/>
      </c>
      <c r="S240" t="n">
        <v>0</v>
      </c>
      <c r="T240" s="3">
        <f>SUM(O240:S240)</f>
        <v/>
      </c>
      <c r="U240" s="3">
        <f>IF(P240&lt;8,"USTED ESTÁ AL DÍA","USTED NO ESTÁ AL DÍA")</f>
        <v/>
      </c>
      <c r="V240" s="3" t="inlineStr">
        <is>
          <t>PAGO PRESENCIAL:  05/06 de 4-6 pm (LOCAL DEL PUEBLO), PAGO YAPE: 948 227 636</t>
        </is>
      </c>
      <c r="W240" t="n">
        <v>50</v>
      </c>
      <c r="X240" t="n">
        <v>50</v>
      </c>
      <c r="Y240">
        <f>T240+W240+X240</f>
        <v/>
      </c>
    </row>
    <row r="241" hidden="1" ht="15.75" customHeight="1" s="4">
      <c r="A241" s="3" t="n">
        <v>17135</v>
      </c>
      <c r="B241" s="3" t="inlineStr">
        <is>
          <t>11/04/2026 al 10/05/2026</t>
        </is>
      </c>
      <c r="C241" s="2" t="n">
        <v>46179</v>
      </c>
      <c r="D241" s="2" t="n">
        <v>46174</v>
      </c>
      <c r="E241" s="2" t="n">
        <v>46122</v>
      </c>
      <c r="F241" s="2" t="n">
        <v>46152</v>
      </c>
      <c r="G241" t="inlineStr">
        <is>
          <t>FREDY INGA GAMARA</t>
        </is>
      </c>
      <c r="H241" t="inlineStr">
        <is>
          <t>G1</t>
        </is>
      </c>
      <c r="I241" t="inlineStr">
        <is>
          <t>14</t>
        </is>
      </c>
      <c r="L241">
        <f>K241-J241</f>
        <v/>
      </c>
      <c r="S241" t="n">
        <v>0</v>
      </c>
      <c r="T241" s="3">
        <f>SUM(O241:S241)</f>
        <v/>
      </c>
      <c r="U241" s="3">
        <f>IF(P241&lt;8,"USTED ESTÁ AL DÍA","USTED NO ESTÁ AL DÍA")</f>
        <v/>
      </c>
      <c r="V241" s="3" t="inlineStr">
        <is>
          <t>PAGO PRESENCIAL:  05/06 de 4-6 pm (LOCAL DEL PUEBLO), PAGO YAPE: 948 227 636</t>
        </is>
      </c>
      <c r="X241" t="n">
        <v>75</v>
      </c>
      <c r="Y241">
        <f>T241+W241+X241</f>
        <v/>
      </c>
    </row>
    <row r="242" hidden="1" ht="15.75" customHeight="1" s="4">
      <c r="A242" s="3" t="n">
        <v>17136</v>
      </c>
      <c r="B242" s="3" t="inlineStr">
        <is>
          <t>11/04/2026 al 10/05/2026</t>
        </is>
      </c>
      <c r="C242" s="2" t="n">
        <v>46179</v>
      </c>
      <c r="D242" s="2" t="n">
        <v>46174</v>
      </c>
      <c r="E242" s="2" t="n">
        <v>46122</v>
      </c>
      <c r="F242" s="2" t="n">
        <v>46152</v>
      </c>
      <c r="G242" t="inlineStr">
        <is>
          <t>LOLA PARIONA LEYVA</t>
        </is>
      </c>
      <c r="H242" t="inlineStr">
        <is>
          <t>G1</t>
        </is>
      </c>
      <c r="I242" t="inlineStr">
        <is>
          <t>15</t>
        </is>
      </c>
      <c r="L242">
        <f>K242-J242</f>
        <v/>
      </c>
      <c r="S242" t="n">
        <v>0</v>
      </c>
      <c r="T242" s="3">
        <f>SUM(O242:S242)</f>
        <v/>
      </c>
      <c r="U242" s="3">
        <f>IF(P242&lt;8,"USTED ESTÁ AL DÍA","USTED NO ESTÁ AL DÍA")</f>
        <v/>
      </c>
      <c r="V242" s="3" t="inlineStr">
        <is>
          <t>PAGO PRESENCIAL:  05/06 de 4-6 pm (LOCAL DEL PUEBLO), PAGO YAPE: 948 227 636</t>
        </is>
      </c>
      <c r="W242" t="n">
        <v>50</v>
      </c>
      <c r="Y242">
        <f>T242+W242+X242</f>
        <v/>
      </c>
    </row>
    <row r="243" hidden="1" ht="15.75" customHeight="1" s="4">
      <c r="A243" s="3" t="n">
        <v>17137</v>
      </c>
      <c r="B243" s="3" t="inlineStr">
        <is>
          <t>11/04/2026 al 10/05/2026</t>
        </is>
      </c>
      <c r="C243" s="2" t="n">
        <v>46179</v>
      </c>
      <c r="D243" s="2" t="n">
        <v>46174</v>
      </c>
      <c r="E243" s="2" t="n">
        <v>46122</v>
      </c>
      <c r="F243" s="2" t="n">
        <v>46152</v>
      </c>
      <c r="G243" t="inlineStr">
        <is>
          <t>MARCIAL MILLA CRUZ</t>
        </is>
      </c>
      <c r="H243" t="inlineStr">
        <is>
          <t>H</t>
        </is>
      </c>
      <c r="I243" t="inlineStr">
        <is>
          <t>13</t>
        </is>
      </c>
      <c r="J243" t="n">
        <v>313</v>
      </c>
      <c r="K243" t="n">
        <v>345</v>
      </c>
      <c r="L243">
        <f>K243-J243</f>
        <v/>
      </c>
      <c r="M243" t="n">
        <v>32</v>
      </c>
      <c r="N243">
        <f>IF(L243&lt;&gt;M243,1,0)</f>
        <v/>
      </c>
      <c r="O243" t="n">
        <v>32</v>
      </c>
      <c r="P243" t="n">
        <v>36</v>
      </c>
      <c r="S243" t="n">
        <v>3</v>
      </c>
      <c r="T243" s="3">
        <f>SUM(O243:S243)</f>
        <v/>
      </c>
      <c r="U243" s="3">
        <f>IF(P243&lt;8,"USTED ESTÁ AL DÍA","USTED NO ESTÁ AL DÍA")</f>
        <v/>
      </c>
      <c r="V243" s="3" t="inlineStr">
        <is>
          <t>PAGO PRESENCIAL:  05/06 de 4-6 pm (LOCAL DEL PUEBLO), PAGO YAPE: 948 227 636</t>
        </is>
      </c>
      <c r="Y243">
        <f>T243+W243+X243</f>
        <v/>
      </c>
    </row>
    <row r="244" hidden="1" ht="15.75" customHeight="1" s="4">
      <c r="A244" s="3" t="n">
        <v>17138</v>
      </c>
      <c r="B244" s="3" t="inlineStr">
        <is>
          <t>11/04/2026 al 10/05/2026</t>
        </is>
      </c>
      <c r="C244" s="2" t="n">
        <v>46179</v>
      </c>
      <c r="D244" s="2" t="n">
        <v>46174</v>
      </c>
      <c r="E244" s="2" t="n">
        <v>46122</v>
      </c>
      <c r="F244" s="2" t="n">
        <v>46152</v>
      </c>
      <c r="G244" t="inlineStr">
        <is>
          <t>GREGORIO TOLENTINO SANCHEZ</t>
        </is>
      </c>
      <c r="H244" t="inlineStr">
        <is>
          <t>H</t>
        </is>
      </c>
      <c r="I244" t="inlineStr">
        <is>
          <t>16</t>
        </is>
      </c>
      <c r="J244" t="n">
        <v>26</v>
      </c>
      <c r="K244" t="n">
        <v>33</v>
      </c>
      <c r="L244">
        <f>K244-J244</f>
        <v/>
      </c>
      <c r="M244" t="n">
        <v>7</v>
      </c>
      <c r="N244">
        <f>IF(L244&lt;&gt;M244,1,0)</f>
        <v/>
      </c>
      <c r="O244" t="n">
        <v>7</v>
      </c>
      <c r="P244" t="n">
        <v>15</v>
      </c>
      <c r="S244" t="n">
        <v>3</v>
      </c>
      <c r="T244" s="3">
        <f>SUM(O244:S244)</f>
        <v/>
      </c>
      <c r="U244" s="3">
        <f>IF(P244&lt;8,"USTED ESTÁ AL DÍA","USTED NO ESTÁ AL DÍA")</f>
        <v/>
      </c>
      <c r="V244" s="3" t="inlineStr">
        <is>
          <t>PAGO PRESENCIAL:  05/06 de 4-6 pm (LOCAL DEL PUEBLO), PAGO YAPE: 948 227 636</t>
        </is>
      </c>
      <c r="X244" t="n">
        <v>75</v>
      </c>
      <c r="Y244">
        <f>T244+W244+X244</f>
        <v/>
      </c>
    </row>
    <row r="245" hidden="1" ht="15.75" customHeight="1" s="4">
      <c r="A245" s="3" t="n">
        <v>17139</v>
      </c>
      <c r="B245" s="3" t="inlineStr">
        <is>
          <t>11/04/2026 al 10/05/2026</t>
        </is>
      </c>
      <c r="C245" s="2" t="n">
        <v>46179</v>
      </c>
      <c r="D245" s="2" t="n">
        <v>46174</v>
      </c>
      <c r="E245" s="2" t="n">
        <v>46122</v>
      </c>
      <c r="F245" s="2" t="n">
        <v>46152</v>
      </c>
      <c r="G245" t="inlineStr">
        <is>
          <t>CIPRIANO LOZANO MINAYA</t>
        </is>
      </c>
      <c r="H245" t="inlineStr">
        <is>
          <t>H</t>
        </is>
      </c>
      <c r="I245" t="inlineStr">
        <is>
          <t>20</t>
        </is>
      </c>
      <c r="J245" t="n">
        <v>0</v>
      </c>
      <c r="K245" t="n">
        <v>0</v>
      </c>
      <c r="L245">
        <f>K245-J245</f>
        <v/>
      </c>
      <c r="M245" t="n">
        <v>5</v>
      </c>
      <c r="O245" t="n">
        <v>5</v>
      </c>
      <c r="P245" t="n">
        <v>86</v>
      </c>
      <c r="R245" t="n">
        <v>25</v>
      </c>
      <c r="S245" t="n">
        <v>3</v>
      </c>
      <c r="T245" s="3">
        <f>SUM(O245:S245)</f>
        <v/>
      </c>
      <c r="U245" s="3">
        <f>IF(P245&lt;8,"USTED ESTÁ AL DÍA","USTED NO ESTÁ AL DÍA")</f>
        <v/>
      </c>
      <c r="V245" s="3" t="inlineStr">
        <is>
          <t>PAGO PRESENCIAL:  05/06 de 4-6 pm (LOCAL DEL PUEBLO), PAGO YAPE: 948 227 636</t>
        </is>
      </c>
      <c r="X245" t="n">
        <v>50</v>
      </c>
      <c r="Y245">
        <f>T245+W245+X245</f>
        <v/>
      </c>
    </row>
    <row r="246" hidden="1" ht="15.75" customHeight="1" s="4">
      <c r="A246" s="3" t="n">
        <v>17140</v>
      </c>
      <c r="B246" s="3" t="inlineStr">
        <is>
          <t>11/04/2026 al 10/05/2026</t>
        </is>
      </c>
      <c r="C246" s="2" t="n">
        <v>46179</v>
      </c>
      <c r="D246" s="2" t="n">
        <v>46174</v>
      </c>
      <c r="E246" s="2" t="n">
        <v>46122</v>
      </c>
      <c r="F246" s="2" t="n">
        <v>46152</v>
      </c>
      <c r="G246" t="inlineStr">
        <is>
          <t>ORLANDO EVARISTO COCHACHIN</t>
        </is>
      </c>
      <c r="H246" t="inlineStr">
        <is>
          <t>H</t>
        </is>
      </c>
      <c r="I246" t="inlineStr">
        <is>
          <t>1</t>
        </is>
      </c>
      <c r="J246" t="n">
        <v>35</v>
      </c>
      <c r="K246" t="n">
        <v>54</v>
      </c>
      <c r="L246">
        <f>K246-J246</f>
        <v/>
      </c>
      <c r="M246" t="n">
        <v>19</v>
      </c>
      <c r="N246">
        <f>IF(L246&lt;&gt;M246,1,0)</f>
        <v/>
      </c>
      <c r="O246" t="n">
        <v>19</v>
      </c>
      <c r="R246" t="n">
        <v>25</v>
      </c>
      <c r="S246" t="n">
        <v>3</v>
      </c>
      <c r="T246" s="3">
        <f>SUM(O246:S246)</f>
        <v/>
      </c>
      <c r="U246" s="3">
        <f>IF(P246&lt;8,"USTED ESTÁ AL DÍA","USTED NO ESTÁ AL DÍA")</f>
        <v/>
      </c>
      <c r="V246" s="3" t="inlineStr">
        <is>
          <t>PAGO PRESENCIAL:  05/06 de 4-6 pm (LOCAL DEL PUEBLO), PAGO YAPE: 948 227 636</t>
        </is>
      </c>
      <c r="Y246">
        <f>T246+W246+X246</f>
        <v/>
      </c>
    </row>
    <row r="247" hidden="1" ht="15.75" customHeight="1" s="4">
      <c r="A247" s="3" t="n">
        <v>17141</v>
      </c>
      <c r="B247" s="3" t="inlineStr">
        <is>
          <t>11/04/2026 al 10/05/2026</t>
        </is>
      </c>
      <c r="C247" s="2" t="n">
        <v>46179</v>
      </c>
      <c r="D247" s="2" t="n">
        <v>46174</v>
      </c>
      <c r="E247" s="2" t="n">
        <v>46122</v>
      </c>
      <c r="F247" s="2" t="n">
        <v>46152</v>
      </c>
      <c r="G247" t="inlineStr">
        <is>
          <t>ESTEBAN DE PAZ LLIUYA</t>
        </is>
      </c>
      <c r="H247" t="inlineStr">
        <is>
          <t>H</t>
        </is>
      </c>
      <c r="I247" t="inlineStr">
        <is>
          <t>2</t>
        </is>
      </c>
      <c r="J247" t="n">
        <v>2245</v>
      </c>
      <c r="K247" t="n">
        <v>2264</v>
      </c>
      <c r="L247">
        <f>K247-J247</f>
        <v/>
      </c>
      <c r="M247" t="n">
        <v>19</v>
      </c>
      <c r="N247">
        <f>IF(L247&lt;&gt;M247,1,0)</f>
        <v/>
      </c>
      <c r="O247" t="n">
        <v>19</v>
      </c>
      <c r="S247" t="n">
        <v>3</v>
      </c>
      <c r="T247" s="3">
        <f>SUM(O247:S247)</f>
        <v/>
      </c>
      <c r="U247" s="3">
        <f>IF(P247&lt;8,"USTED ESTÁ AL DÍA","USTED NO ESTÁ AL DÍA")</f>
        <v/>
      </c>
      <c r="V247" s="3" t="inlineStr">
        <is>
          <t>PAGO PRESENCIAL:  05/06 de 4-6 pm (LOCAL DEL PUEBLO), PAGO YAPE: 948 227 636</t>
        </is>
      </c>
      <c r="Y247">
        <f>T247+W247+X247</f>
        <v/>
      </c>
    </row>
    <row r="248" hidden="1" ht="15.75" customHeight="1" s="4">
      <c r="A248" s="3" t="n">
        <v>17142</v>
      </c>
      <c r="B248" s="3" t="inlineStr">
        <is>
          <t>11/04/2026 al 10/05/2026</t>
        </is>
      </c>
      <c r="C248" s="2" t="n">
        <v>46179</v>
      </c>
      <c r="D248" s="2" t="n">
        <v>46174</v>
      </c>
      <c r="E248" s="2" t="n">
        <v>46122</v>
      </c>
      <c r="F248" s="2" t="n">
        <v>46152</v>
      </c>
      <c r="G248" t="inlineStr">
        <is>
          <t>JUSTINA DE PAZ VILLAFANA</t>
        </is>
      </c>
      <c r="H248" t="inlineStr">
        <is>
          <t>H</t>
        </is>
      </c>
      <c r="I248" t="inlineStr">
        <is>
          <t>3</t>
        </is>
      </c>
      <c r="J248" t="n">
        <v>3343</v>
      </c>
      <c r="K248" t="n">
        <v>3370</v>
      </c>
      <c r="L248">
        <f>K248-J248</f>
        <v/>
      </c>
      <c r="M248" t="n">
        <v>27</v>
      </c>
      <c r="N248">
        <f>IF(L248&lt;&gt;M248,1,0)</f>
        <v/>
      </c>
      <c r="O248" t="n">
        <v>27</v>
      </c>
      <c r="S248" t="n">
        <v>3</v>
      </c>
      <c r="T248" s="3">
        <f>SUM(O248:S248)</f>
        <v/>
      </c>
      <c r="U248" s="3">
        <f>IF(P248&lt;8,"USTED ESTÁ AL DÍA","USTED NO ESTÁ AL DÍA")</f>
        <v/>
      </c>
      <c r="V248" s="3" t="inlineStr">
        <is>
          <t>PAGO PRESENCIAL:  05/06 de 4-6 pm (LOCAL DEL PUEBLO), PAGO YAPE: 948 227 636</t>
        </is>
      </c>
      <c r="Y248">
        <f>T248+W248+X248</f>
        <v/>
      </c>
    </row>
    <row r="249" hidden="1" ht="15.75" customHeight="1" s="4">
      <c r="A249" s="3" t="n">
        <v>17143</v>
      </c>
      <c r="B249" s="3" t="inlineStr">
        <is>
          <t>11/04/2026 al 10/05/2026</t>
        </is>
      </c>
      <c r="C249" s="2" t="n">
        <v>46179</v>
      </c>
      <c r="D249" s="2" t="n">
        <v>46174</v>
      </c>
      <c r="E249" s="2" t="n">
        <v>46122</v>
      </c>
      <c r="F249" s="2" t="n">
        <v>46152</v>
      </c>
      <c r="G249" t="inlineStr">
        <is>
          <t>GISELLA YESSICA DELGADO VEGA</t>
        </is>
      </c>
      <c r="H249" t="inlineStr">
        <is>
          <t>H</t>
        </is>
      </c>
      <c r="I249" t="inlineStr">
        <is>
          <t>4</t>
        </is>
      </c>
      <c r="J249" t="n">
        <v>2462</v>
      </c>
      <c r="K249" t="n">
        <v>2474</v>
      </c>
      <c r="L249">
        <f>K249-J249</f>
        <v/>
      </c>
      <c r="M249" t="n">
        <v>12</v>
      </c>
      <c r="N249">
        <f>IF(L249&lt;&gt;M249,1,0)</f>
        <v/>
      </c>
      <c r="O249" t="n">
        <v>12</v>
      </c>
      <c r="S249" t="n">
        <v>3</v>
      </c>
      <c r="T249" s="3">
        <f>SUM(O249:S249)</f>
        <v/>
      </c>
      <c r="U249" s="3">
        <f>IF(P249&lt;8,"USTED ESTÁ AL DÍA","USTED NO ESTÁ AL DÍA")</f>
        <v/>
      </c>
      <c r="V249" s="3" t="inlineStr">
        <is>
          <t>PAGO PRESENCIAL:  05/06 de 4-6 pm (LOCAL DEL PUEBLO), PAGO YAPE: 948 227 636</t>
        </is>
      </c>
      <c r="Y249">
        <f>T249+W249+X249</f>
        <v/>
      </c>
    </row>
    <row r="250" hidden="1" ht="15.75" customHeight="1" s="4">
      <c r="A250" s="3" t="n">
        <v>17144</v>
      </c>
      <c r="B250" s="3" t="inlineStr">
        <is>
          <t>11/04/2026 al 10/05/2026</t>
        </is>
      </c>
      <c r="C250" s="2" t="n">
        <v>46179</v>
      </c>
      <c r="D250" s="2" t="n">
        <v>46174</v>
      </c>
      <c r="E250" s="2" t="n">
        <v>46122</v>
      </c>
      <c r="F250" s="2" t="n">
        <v>46152</v>
      </c>
      <c r="G250" t="inlineStr">
        <is>
          <t>ALVINO CASTILLEJO VENTURO</t>
        </is>
      </c>
      <c r="H250" t="inlineStr">
        <is>
          <t>H</t>
        </is>
      </c>
      <c r="I250" t="inlineStr">
        <is>
          <t>5</t>
        </is>
      </c>
      <c r="J250" t="n">
        <v>9</v>
      </c>
      <c r="K250" t="n">
        <v>27</v>
      </c>
      <c r="L250">
        <f>K250-J250</f>
        <v/>
      </c>
      <c r="M250" t="n">
        <v>18</v>
      </c>
      <c r="N250">
        <f>IF(L250&lt;&gt;M250,1,0)</f>
        <v/>
      </c>
      <c r="O250" t="n">
        <v>18</v>
      </c>
      <c r="R250" t="n">
        <v>25</v>
      </c>
      <c r="S250" t="n">
        <v>3</v>
      </c>
      <c r="T250" s="3">
        <f>SUM(O250:S250)</f>
        <v/>
      </c>
      <c r="U250" s="3">
        <f>IF(P250&lt;8,"USTED ESTÁ AL DÍA","USTED NO ESTÁ AL DÍA")</f>
        <v/>
      </c>
      <c r="V250" s="3" t="inlineStr">
        <is>
          <t>PAGO PRESENCIAL:  05/06 de 4-6 pm (LOCAL DEL PUEBLO), PAGO YAPE: 948 227 636</t>
        </is>
      </c>
      <c r="W250" t="n">
        <v>30</v>
      </c>
      <c r="Y250">
        <f>T250+W250+X250</f>
        <v/>
      </c>
    </row>
    <row r="251" hidden="1" ht="15.75" customHeight="1" s="4">
      <c r="A251" s="3" t="n">
        <v>17145</v>
      </c>
      <c r="B251" s="3" t="inlineStr">
        <is>
          <t>11/04/2026 al 10/05/2026</t>
        </is>
      </c>
      <c r="C251" s="2" t="n">
        <v>46179</v>
      </c>
      <c r="D251" s="2" t="n">
        <v>46174</v>
      </c>
      <c r="E251" s="2" t="n">
        <v>46122</v>
      </c>
      <c r="F251" s="2" t="n">
        <v>46152</v>
      </c>
      <c r="G251" t="inlineStr">
        <is>
          <t>PEDRO PALMADERA HERRERA</t>
        </is>
      </c>
      <c r="H251" t="inlineStr">
        <is>
          <t>H</t>
        </is>
      </c>
      <c r="I251" t="inlineStr">
        <is>
          <t>7</t>
        </is>
      </c>
      <c r="J251" t="n">
        <v>98</v>
      </c>
      <c r="K251" t="n">
        <v>134</v>
      </c>
      <c r="L251">
        <f>K251-J251</f>
        <v/>
      </c>
      <c r="M251" t="n">
        <v>36</v>
      </c>
      <c r="N251">
        <f>IF(L251&lt;&gt;M251,1,0)</f>
        <v/>
      </c>
      <c r="O251" t="n">
        <v>36</v>
      </c>
      <c r="R251" t="n">
        <v>25</v>
      </c>
      <c r="S251" t="n">
        <v>3</v>
      </c>
      <c r="T251" s="3">
        <f>SUM(O251:S251)</f>
        <v/>
      </c>
      <c r="U251" s="3">
        <f>IF(P251&lt;8,"USTED ESTÁ AL DÍA","USTED NO ESTÁ AL DÍA")</f>
        <v/>
      </c>
      <c r="V251" s="3" t="inlineStr">
        <is>
          <t>PAGO PRESENCIAL:  05/06 de 4-6 pm (LOCAL DEL PUEBLO), PAGO YAPE: 948 227 636</t>
        </is>
      </c>
      <c r="W251" t="n">
        <v>20</v>
      </c>
      <c r="Y251">
        <f>T251+W251+X251</f>
        <v/>
      </c>
    </row>
    <row r="252" hidden="1" ht="15.75" customHeight="1" s="4">
      <c r="A252" s="3" t="n">
        <v>17146</v>
      </c>
      <c r="B252" s="3" t="inlineStr">
        <is>
          <t>11/04/2026 al 10/05/2026</t>
        </is>
      </c>
      <c r="C252" s="2" t="n">
        <v>46179</v>
      </c>
      <c r="D252" s="2" t="n">
        <v>46174</v>
      </c>
      <c r="E252" s="2" t="n">
        <v>46122</v>
      </c>
      <c r="F252" s="2" t="n">
        <v>46152</v>
      </c>
      <c r="G252" t="inlineStr">
        <is>
          <t>ALEJANDRO GASPAR OLORTEGUI</t>
        </is>
      </c>
      <c r="H252" t="inlineStr">
        <is>
          <t>H</t>
        </is>
      </c>
      <c r="I252" t="inlineStr">
        <is>
          <t>8</t>
        </is>
      </c>
      <c r="J252" t="n">
        <v>44</v>
      </c>
      <c r="K252" t="n">
        <v>60</v>
      </c>
      <c r="L252">
        <f>K252-J252</f>
        <v/>
      </c>
      <c r="M252" t="n">
        <v>16</v>
      </c>
      <c r="N252">
        <f>IF(L252&lt;&gt;M252,1,0)</f>
        <v/>
      </c>
      <c r="O252" t="n">
        <v>16</v>
      </c>
      <c r="R252" t="n">
        <v>25</v>
      </c>
      <c r="S252" t="n">
        <v>3</v>
      </c>
      <c r="T252" s="3">
        <f>SUM(O252:S252)</f>
        <v/>
      </c>
      <c r="U252" s="3">
        <f>IF(P252&lt;8,"USTED ESTÁ AL DÍA","USTED NO ESTÁ AL DÍA")</f>
        <v/>
      </c>
      <c r="V252" s="3" t="inlineStr">
        <is>
          <t>PAGO PRESENCIAL:  05/06 de 4-6 pm (LOCAL DEL PUEBLO), PAGO YAPE: 948 227 636</t>
        </is>
      </c>
      <c r="Y252">
        <f>T252+W252+X252</f>
        <v/>
      </c>
    </row>
    <row r="253" hidden="1" ht="15.75" customHeight="1" s="4">
      <c r="A253" s="3" t="n">
        <v>17147</v>
      </c>
      <c r="B253" s="3" t="inlineStr">
        <is>
          <t>11/04/2026 al 10/05/2026</t>
        </is>
      </c>
      <c r="C253" s="2" t="n">
        <v>46179</v>
      </c>
      <c r="D253" s="2" t="n">
        <v>46174</v>
      </c>
      <c r="E253" s="2" t="n">
        <v>46122</v>
      </c>
      <c r="F253" s="2" t="n">
        <v>46152</v>
      </c>
      <c r="G253" t="inlineStr">
        <is>
          <t>CLEMENTE RODRIGUEZ ROJAS</t>
        </is>
      </c>
      <c r="H253" t="inlineStr">
        <is>
          <t>H</t>
        </is>
      </c>
      <c r="I253" t="inlineStr">
        <is>
          <t>9</t>
        </is>
      </c>
      <c r="J253" t="n">
        <v>38</v>
      </c>
      <c r="K253" t="n">
        <v>43</v>
      </c>
      <c r="L253">
        <f>K253-J253</f>
        <v/>
      </c>
      <c r="M253" t="n">
        <v>5</v>
      </c>
      <c r="O253" t="n">
        <v>5</v>
      </c>
      <c r="R253" t="n">
        <v>25</v>
      </c>
      <c r="S253" t="n">
        <v>3</v>
      </c>
      <c r="T253" s="3">
        <f>SUM(O253:S253)</f>
        <v/>
      </c>
      <c r="U253" s="3">
        <f>IF(P253&lt;8,"USTED ESTÁ AL DÍA","USTED NO ESTÁ AL DÍA")</f>
        <v/>
      </c>
      <c r="V253" s="3" t="inlineStr">
        <is>
          <t>PAGO PRESENCIAL:  05/06 de 4-6 pm (LOCAL DEL PUEBLO), PAGO YAPE: 948 227 636</t>
        </is>
      </c>
      <c r="X253" t="n">
        <v>50</v>
      </c>
      <c r="Y253">
        <f>T253+W253+X253</f>
        <v/>
      </c>
    </row>
    <row r="254" hidden="1" ht="15.75" customHeight="1" s="4">
      <c r="A254" s="3" t="n">
        <v>17148</v>
      </c>
      <c r="B254" s="3" t="inlineStr">
        <is>
          <t>11/04/2026 al 10/05/2026</t>
        </is>
      </c>
      <c r="C254" s="2" t="n">
        <v>46179</v>
      </c>
      <c r="D254" s="2" t="n">
        <v>46174</v>
      </c>
      <c r="E254" s="2" t="n">
        <v>46122</v>
      </c>
      <c r="F254" s="2" t="n">
        <v>46152</v>
      </c>
      <c r="G254" t="inlineStr">
        <is>
          <t>JULIO MAYO TRUJILLO</t>
        </is>
      </c>
      <c r="H254" t="inlineStr">
        <is>
          <t>H</t>
        </is>
      </c>
      <c r="I254" t="inlineStr">
        <is>
          <t>10</t>
        </is>
      </c>
      <c r="J254" t="n">
        <v>14</v>
      </c>
      <c r="K254" t="n">
        <v>19</v>
      </c>
      <c r="L254">
        <f>K254-J254</f>
        <v/>
      </c>
      <c r="M254" t="n">
        <v>5</v>
      </c>
      <c r="O254" t="n">
        <v>5</v>
      </c>
      <c r="S254" t="n">
        <v>3</v>
      </c>
      <c r="T254" s="3">
        <f>SUM(O254:S254)</f>
        <v/>
      </c>
      <c r="U254" s="3">
        <f>IF(P254&lt;8,"USTED ESTÁ AL DÍA","USTED NO ESTÁ AL DÍA")</f>
        <v/>
      </c>
      <c r="V254" s="3" t="inlineStr">
        <is>
          <t>PAGO PRESENCIAL:  05/06 de 4-6 pm (LOCAL DEL PUEBLO), PAGO YAPE: 948 227 636</t>
        </is>
      </c>
      <c r="X254" t="n">
        <v>50</v>
      </c>
      <c r="Y254">
        <f>T254+W254+X254</f>
        <v/>
      </c>
    </row>
    <row r="255" hidden="1" ht="15.75" customHeight="1" s="4">
      <c r="A255" s="3" t="n">
        <v>17149</v>
      </c>
      <c r="B255" s="3" t="inlineStr">
        <is>
          <t>11/04/2026 al 10/05/2026</t>
        </is>
      </c>
      <c r="C255" s="2" t="n">
        <v>46179</v>
      </c>
      <c r="D255" s="2" t="n">
        <v>46174</v>
      </c>
      <c r="E255" s="2" t="n">
        <v>46122</v>
      </c>
      <c r="F255" s="2" t="n">
        <v>46152</v>
      </c>
      <c r="G255" t="inlineStr">
        <is>
          <t>ALEJANDRO LOPEZ ZORRILLA</t>
        </is>
      </c>
      <c r="H255" t="inlineStr">
        <is>
          <t>H</t>
        </is>
      </c>
      <c r="I255" t="inlineStr">
        <is>
          <t>11</t>
        </is>
      </c>
      <c r="J255" t="n">
        <v>14</v>
      </c>
      <c r="K255" t="n">
        <v>19</v>
      </c>
      <c r="L255">
        <f>K255-J255</f>
        <v/>
      </c>
      <c r="M255" t="n">
        <v>5</v>
      </c>
      <c r="O255" t="n">
        <v>5</v>
      </c>
      <c r="R255" t="n">
        <v>25</v>
      </c>
      <c r="S255" t="n">
        <v>3</v>
      </c>
      <c r="T255" s="3">
        <f>SUM(O255:S255)</f>
        <v/>
      </c>
      <c r="U255" s="3">
        <f>IF(P255&lt;8,"USTED ESTÁ AL DÍA","USTED NO ESTÁ AL DÍA")</f>
        <v/>
      </c>
      <c r="V255" s="3" t="inlineStr">
        <is>
          <t>PAGO PRESENCIAL:  05/06 de 4-6 pm (LOCAL DEL PUEBLO), PAGO YAPE: 948 227 636</t>
        </is>
      </c>
      <c r="X255" t="n">
        <v>50</v>
      </c>
      <c r="Y255">
        <f>T255+W255+X255</f>
        <v/>
      </c>
    </row>
    <row r="256" hidden="1" ht="15.75" customHeight="1" s="4">
      <c r="A256" s="3" t="n">
        <v>17150</v>
      </c>
      <c r="B256" s="3" t="inlineStr">
        <is>
          <t>11/04/2026 al 10/05/2026</t>
        </is>
      </c>
      <c r="C256" s="2" t="n">
        <v>46179</v>
      </c>
      <c r="D256" s="2" t="n">
        <v>46174</v>
      </c>
      <c r="E256" s="2" t="n">
        <v>46122</v>
      </c>
      <c r="F256" s="2" t="n">
        <v>46152</v>
      </c>
      <c r="G256" t="inlineStr">
        <is>
          <t>GODOFREDO VASQUEZ LOAYSA</t>
        </is>
      </c>
      <c r="H256" t="inlineStr">
        <is>
          <t>H</t>
        </is>
      </c>
      <c r="I256" t="inlineStr">
        <is>
          <t>12</t>
        </is>
      </c>
      <c r="J256" t="n">
        <v>31</v>
      </c>
      <c r="K256" t="n">
        <v>43</v>
      </c>
      <c r="L256">
        <f>K256-J256</f>
        <v/>
      </c>
      <c r="M256" t="n">
        <v>12</v>
      </c>
      <c r="N256">
        <f>IF(L256&lt;&gt;M256,1,0)</f>
        <v/>
      </c>
      <c r="O256" t="n">
        <v>12</v>
      </c>
      <c r="R256" t="n">
        <v>25</v>
      </c>
      <c r="S256" t="n">
        <v>3</v>
      </c>
      <c r="T256" s="3">
        <f>SUM(O256:S256)</f>
        <v/>
      </c>
      <c r="U256" s="3">
        <f>IF(P256&lt;8,"USTED ESTÁ AL DÍA","USTED NO ESTÁ AL DÍA")</f>
        <v/>
      </c>
      <c r="V256" s="3" t="inlineStr">
        <is>
          <t>PAGO PRESENCIAL:  05/06 de 4-6 pm (LOCAL DEL PUEBLO), PAGO YAPE: 948 227 636</t>
        </is>
      </c>
      <c r="X256" t="n">
        <v>50</v>
      </c>
      <c r="Y256">
        <f>T256+W256+X256</f>
        <v/>
      </c>
    </row>
    <row r="257" hidden="1" ht="15.75" customHeight="1" s="4">
      <c r="A257" s="3" t="n">
        <v>17151</v>
      </c>
      <c r="B257" s="3" t="inlineStr">
        <is>
          <t>11/04/2026 al 10/05/2026</t>
        </is>
      </c>
      <c r="C257" s="2" t="n">
        <v>46179</v>
      </c>
      <c r="D257" s="2" t="n">
        <v>46174</v>
      </c>
      <c r="E257" s="2" t="n">
        <v>46122</v>
      </c>
      <c r="F257" s="2" t="n">
        <v>46152</v>
      </c>
      <c r="G257" t="inlineStr">
        <is>
          <t>JUSTINA ALEGRIA VDA. DE VILLANUEVA</t>
        </is>
      </c>
      <c r="H257" t="inlineStr">
        <is>
          <t>H</t>
        </is>
      </c>
      <c r="I257" t="inlineStr">
        <is>
          <t>14</t>
        </is>
      </c>
      <c r="J257" t="n">
        <v>36</v>
      </c>
      <c r="K257" t="n">
        <v>41</v>
      </c>
      <c r="L257">
        <f>K257-J257</f>
        <v/>
      </c>
      <c r="M257" t="n">
        <v>5</v>
      </c>
      <c r="O257" t="n">
        <v>5</v>
      </c>
      <c r="S257" t="n">
        <v>3</v>
      </c>
      <c r="T257" s="3">
        <f>SUM(O257:S257)</f>
        <v/>
      </c>
      <c r="U257" s="3">
        <f>IF(P257&lt;8,"USTED ESTÁ AL DÍA","USTED NO ESTÁ AL DÍA")</f>
        <v/>
      </c>
      <c r="V257" s="3" t="inlineStr">
        <is>
          <t>PAGO PRESENCIAL:  05/06 de 4-6 pm (LOCAL DEL PUEBLO), PAGO YAPE: 948 227 636</t>
        </is>
      </c>
      <c r="Y257">
        <f>T257+W257+X257</f>
        <v/>
      </c>
    </row>
    <row r="258" hidden="1" ht="15.75" customHeight="1" s="4">
      <c r="A258" s="3" t="n">
        <v>17152</v>
      </c>
      <c r="B258" s="3" t="inlineStr">
        <is>
          <t>11/04/2026 al 10/05/2026</t>
        </is>
      </c>
      <c r="C258" s="2" t="n">
        <v>46179</v>
      </c>
      <c r="D258" s="2" t="n">
        <v>46174</v>
      </c>
      <c r="E258" s="2" t="n">
        <v>46122</v>
      </c>
      <c r="F258" s="2" t="n">
        <v>46152</v>
      </c>
      <c r="G258" t="inlineStr">
        <is>
          <t>CIRIACO MORALES LOPEZ</t>
        </is>
      </c>
      <c r="H258" t="inlineStr">
        <is>
          <t>H</t>
        </is>
      </c>
      <c r="I258" t="inlineStr">
        <is>
          <t>15</t>
        </is>
      </c>
      <c r="J258" t="n">
        <v>1194</v>
      </c>
      <c r="K258" t="n">
        <v>1205</v>
      </c>
      <c r="L258">
        <f>K258-J258</f>
        <v/>
      </c>
      <c r="M258" t="n">
        <v>11</v>
      </c>
      <c r="N258">
        <f>IF(L258&lt;&gt;M258,1,0)</f>
        <v/>
      </c>
      <c r="O258" t="n">
        <v>11</v>
      </c>
      <c r="S258" t="n">
        <v>3</v>
      </c>
      <c r="T258" s="3">
        <f>SUM(O258:S258)</f>
        <v/>
      </c>
      <c r="U258" s="3">
        <f>IF(P258&lt;8,"USTED ESTÁ AL DÍA","USTED NO ESTÁ AL DÍA")</f>
        <v/>
      </c>
      <c r="V258" s="3" t="inlineStr">
        <is>
          <t>PAGO PRESENCIAL:  05/06 de 4-6 pm (LOCAL DEL PUEBLO), PAGO YAPE: 948 227 636</t>
        </is>
      </c>
      <c r="Y258">
        <f>T258+W258+X258</f>
        <v/>
      </c>
    </row>
    <row r="259" hidden="1" ht="15.75" customHeight="1" s="4">
      <c r="A259" s="3" t="n">
        <v>17153</v>
      </c>
      <c r="B259" s="3" t="inlineStr">
        <is>
          <t>11/04/2026 al 10/05/2026</t>
        </is>
      </c>
      <c r="C259" s="2" t="n">
        <v>46179</v>
      </c>
      <c r="D259" s="2" t="n">
        <v>46174</v>
      </c>
      <c r="E259" s="2" t="n">
        <v>46122</v>
      </c>
      <c r="F259" s="2" t="n">
        <v>46152</v>
      </c>
      <c r="G259" t="inlineStr">
        <is>
          <t>JULIO NIETO ORTIZ</t>
        </is>
      </c>
      <c r="H259" t="inlineStr">
        <is>
          <t>H</t>
        </is>
      </c>
      <c r="I259" t="inlineStr">
        <is>
          <t>17</t>
        </is>
      </c>
      <c r="J259" t="n">
        <v>48</v>
      </c>
      <c r="K259" t="n">
        <v>66</v>
      </c>
      <c r="L259">
        <f>K259-J259</f>
        <v/>
      </c>
      <c r="M259" t="n">
        <v>18</v>
      </c>
      <c r="N259">
        <f>IF(L259&lt;&gt;M259,1,0)</f>
        <v/>
      </c>
      <c r="O259" t="n">
        <v>18</v>
      </c>
      <c r="R259" t="n">
        <v>25</v>
      </c>
      <c r="S259" t="n">
        <v>3</v>
      </c>
      <c r="T259" s="3">
        <f>SUM(O259:S259)</f>
        <v/>
      </c>
      <c r="U259" s="3">
        <f>IF(P259&lt;8,"USTED ESTÁ AL DÍA","USTED NO ESTÁ AL DÍA")</f>
        <v/>
      </c>
      <c r="V259" s="3" t="inlineStr">
        <is>
          <t>PAGO PRESENCIAL:  05/06 de 4-6 pm (LOCAL DEL PUEBLO), PAGO YAPE: 948 227 636</t>
        </is>
      </c>
      <c r="W259" t="n">
        <v>50</v>
      </c>
      <c r="X259" t="n">
        <v>75</v>
      </c>
      <c r="Y259">
        <f>T259+W259+X259</f>
        <v/>
      </c>
    </row>
    <row r="260" hidden="1" ht="15.75" customHeight="1" s="4">
      <c r="A260" s="3" t="n">
        <v>17154</v>
      </c>
      <c r="B260" s="3" t="inlineStr">
        <is>
          <t>11/04/2026 al 10/05/2026</t>
        </is>
      </c>
      <c r="C260" s="2" t="n">
        <v>46179</v>
      </c>
      <c r="D260" s="2" t="n">
        <v>46174</v>
      </c>
      <c r="E260" s="2" t="n">
        <v>46122</v>
      </c>
      <c r="F260" s="2" t="n">
        <v>46152</v>
      </c>
      <c r="G260" t="inlineStr">
        <is>
          <t>FRANCISCO MORENO VARA</t>
        </is>
      </c>
      <c r="H260" t="inlineStr">
        <is>
          <t>H</t>
        </is>
      </c>
      <c r="I260" t="inlineStr">
        <is>
          <t>18</t>
        </is>
      </c>
      <c r="J260" t="n">
        <v>24</v>
      </c>
      <c r="K260" t="n">
        <v>32</v>
      </c>
      <c r="L260">
        <f>K260-J260</f>
        <v/>
      </c>
      <c r="M260" t="n">
        <v>8</v>
      </c>
      <c r="N260">
        <f>IF(L260&lt;&gt;M260,1,0)</f>
        <v/>
      </c>
      <c r="O260" t="n">
        <v>8</v>
      </c>
      <c r="R260" t="n">
        <v>25</v>
      </c>
      <c r="S260" t="n">
        <v>3</v>
      </c>
      <c r="T260" s="3">
        <f>SUM(O260:S260)</f>
        <v/>
      </c>
      <c r="U260" s="3">
        <f>IF(P260&lt;8,"USTED ESTÁ AL DÍA","USTED NO ESTÁ AL DÍA")</f>
        <v/>
      </c>
      <c r="V260" s="3" t="inlineStr">
        <is>
          <t>PAGO PRESENCIAL:  05/06 de 4-6 pm (LOCAL DEL PUEBLO), PAGO YAPE: 948 227 636</t>
        </is>
      </c>
      <c r="W260" t="n">
        <v>30</v>
      </c>
      <c r="Y260">
        <f>T260+W260+X260</f>
        <v/>
      </c>
    </row>
    <row r="261" hidden="1" ht="15.75" customHeight="1" s="4">
      <c r="A261" s="3" t="n">
        <v>17155</v>
      </c>
      <c r="B261" s="3" t="inlineStr">
        <is>
          <t>11/04/2026 al 10/05/2026</t>
        </is>
      </c>
      <c r="C261" s="2" t="n">
        <v>46179</v>
      </c>
      <c r="D261" s="2" t="n">
        <v>46174</v>
      </c>
      <c r="E261" s="2" t="n">
        <v>46122</v>
      </c>
      <c r="F261" s="2" t="n">
        <v>46152</v>
      </c>
      <c r="G261" t="inlineStr">
        <is>
          <t>ANSELMO BELVEDER NUÑEZ</t>
        </is>
      </c>
      <c r="H261" t="inlineStr">
        <is>
          <t>H</t>
        </is>
      </c>
      <c r="I261" t="inlineStr">
        <is>
          <t>19</t>
        </is>
      </c>
      <c r="J261" t="n">
        <v>13</v>
      </c>
      <c r="K261" t="n">
        <v>19</v>
      </c>
      <c r="L261">
        <f>K261-J261</f>
        <v/>
      </c>
      <c r="M261" t="n">
        <v>6</v>
      </c>
      <c r="N261">
        <f>IF(L261&lt;&gt;M261,1,0)</f>
        <v/>
      </c>
      <c r="O261" t="n">
        <v>6</v>
      </c>
      <c r="R261" t="n">
        <v>25</v>
      </c>
      <c r="S261" t="n">
        <v>3</v>
      </c>
      <c r="T261" s="3">
        <f>SUM(O261:S261)</f>
        <v/>
      </c>
      <c r="U261" s="3">
        <f>IF(P261&lt;8,"USTED ESTÁ AL DÍA","USTED NO ESTÁ AL DÍA")</f>
        <v/>
      </c>
      <c r="V261" s="3" t="inlineStr">
        <is>
          <t>PAGO PRESENCIAL:  05/06 de 4-6 pm (LOCAL DEL PUEBLO), PAGO YAPE: 948 227 636</t>
        </is>
      </c>
      <c r="Y261">
        <f>T261+W261+X261</f>
        <v/>
      </c>
    </row>
    <row r="262" hidden="1" ht="15.75" customHeight="1" s="4">
      <c r="A262" s="3" t="n">
        <v>17156</v>
      </c>
      <c r="B262" s="3" t="inlineStr">
        <is>
          <t>11/04/2026 al 10/05/2026</t>
        </is>
      </c>
      <c r="C262" s="2" t="n">
        <v>46179</v>
      </c>
      <c r="D262" s="2" t="n">
        <v>46174</v>
      </c>
      <c r="E262" s="2" t="n">
        <v>46122</v>
      </c>
      <c r="F262" s="2" t="n">
        <v>46152</v>
      </c>
      <c r="G262" t="inlineStr">
        <is>
          <t>ROMAN LOZANO MINAYA</t>
        </is>
      </c>
      <c r="H262" t="inlineStr">
        <is>
          <t>H</t>
        </is>
      </c>
      <c r="I262" t="inlineStr">
        <is>
          <t>21</t>
        </is>
      </c>
      <c r="J262" t="n">
        <v>39</v>
      </c>
      <c r="K262" t="n">
        <v>55</v>
      </c>
      <c r="L262">
        <f>K262-J262</f>
        <v/>
      </c>
      <c r="M262" t="n">
        <v>16</v>
      </c>
      <c r="N262">
        <f>IF(L262&lt;&gt;M262,1,0)</f>
        <v/>
      </c>
      <c r="O262" t="n">
        <v>16</v>
      </c>
      <c r="R262" t="n">
        <v>25</v>
      </c>
      <c r="S262" t="n">
        <v>3</v>
      </c>
      <c r="T262" s="3">
        <f>SUM(O262:S262)</f>
        <v/>
      </c>
      <c r="U262" s="3">
        <f>IF(P262&lt;8,"USTED ESTÁ AL DÍA","USTED NO ESTÁ AL DÍA")</f>
        <v/>
      </c>
      <c r="V262" s="3" t="inlineStr">
        <is>
          <t>PAGO PRESENCIAL:  05/06 de 4-6 pm (LOCAL DEL PUEBLO), PAGO YAPE: 948 227 636</t>
        </is>
      </c>
      <c r="X262" t="n">
        <v>50</v>
      </c>
      <c r="Y262">
        <f>T262+W262+X262</f>
        <v/>
      </c>
    </row>
    <row r="263" hidden="1" ht="15.75" customHeight="1" s="4">
      <c r="A263" s="3" t="n">
        <v>17157</v>
      </c>
      <c r="B263" s="3" t="inlineStr">
        <is>
          <t>11/04/2026 al 10/05/2026</t>
        </is>
      </c>
      <c r="C263" s="2" t="n">
        <v>46179</v>
      </c>
      <c r="D263" s="2" t="n">
        <v>46174</v>
      </c>
      <c r="E263" s="2" t="n">
        <v>46122</v>
      </c>
      <c r="F263" s="2" t="n">
        <v>46152</v>
      </c>
      <c r="G263" t="inlineStr">
        <is>
          <t>BEATRIZ EDITA TAMARA LLANQUE</t>
        </is>
      </c>
      <c r="H263" t="inlineStr">
        <is>
          <t>H</t>
        </is>
      </c>
      <c r="I263" t="inlineStr">
        <is>
          <t>22</t>
        </is>
      </c>
      <c r="J263" t="n">
        <v>2566</v>
      </c>
      <c r="K263" t="n">
        <v>2577</v>
      </c>
      <c r="L263">
        <f>K263-J263</f>
        <v/>
      </c>
      <c r="M263" t="n">
        <v>11</v>
      </c>
      <c r="N263">
        <f>IF(L263&lt;&gt;M263,1,0)</f>
        <v/>
      </c>
      <c r="O263" t="n">
        <v>11</v>
      </c>
      <c r="S263" t="n">
        <v>3</v>
      </c>
      <c r="T263" s="3">
        <f>SUM(O263:S263)</f>
        <v/>
      </c>
      <c r="U263" s="3">
        <f>IF(P263&lt;8,"USTED ESTÁ AL DÍA","USTED NO ESTÁ AL DÍA")</f>
        <v/>
      </c>
      <c r="V263" s="3" t="inlineStr">
        <is>
          <t>PAGO PRESENCIAL:  05/06 de 4-6 pm (LOCAL DEL PUEBLO), PAGO YAPE: 948 227 636</t>
        </is>
      </c>
      <c r="X263" t="n">
        <v>50</v>
      </c>
      <c r="Y263">
        <f>T263+W263+X263</f>
        <v/>
      </c>
    </row>
    <row r="264" hidden="1" ht="15.75" customHeight="1" s="4">
      <c r="A264" s="3" t="n">
        <v>17158</v>
      </c>
      <c r="B264" s="3" t="inlineStr">
        <is>
          <t>11/04/2026 al 10/05/2026</t>
        </is>
      </c>
      <c r="C264" s="2" t="n">
        <v>46179</v>
      </c>
      <c r="D264" s="2" t="n">
        <v>46174</v>
      </c>
      <c r="E264" s="2" t="n">
        <v>46122</v>
      </c>
      <c r="F264" s="2" t="n">
        <v>46152</v>
      </c>
      <c r="G264" t="inlineStr">
        <is>
          <t>INOCENTA MILLA BOTELLO</t>
        </is>
      </c>
      <c r="H264" t="inlineStr">
        <is>
          <t>H</t>
        </is>
      </c>
      <c r="I264" t="inlineStr">
        <is>
          <t>6</t>
        </is>
      </c>
      <c r="L264">
        <f>K264-J264</f>
        <v/>
      </c>
      <c r="S264" t="n">
        <v>0</v>
      </c>
      <c r="T264" s="3">
        <f>SUM(O264:S264)</f>
        <v/>
      </c>
      <c r="U264" s="3">
        <f>IF(P264&lt;8,"USTED ESTÁ AL DÍA","USTED NO ESTÁ AL DÍA")</f>
        <v/>
      </c>
      <c r="V264" s="3" t="inlineStr">
        <is>
          <t>PAGO PRESENCIAL:  05/06 de 4-6 pm (LOCAL DEL PUEBLO), PAGO YAPE: 948 227 636</t>
        </is>
      </c>
      <c r="W264" t="n">
        <v>50</v>
      </c>
      <c r="X264" t="n">
        <v>50</v>
      </c>
      <c r="Y264">
        <f>T264+W264+X264</f>
        <v/>
      </c>
    </row>
    <row r="265" hidden="1" ht="15.75" customHeight="1" s="4">
      <c r="A265" s="3" t="n">
        <v>17159</v>
      </c>
      <c r="B265" s="3" t="inlineStr">
        <is>
          <t>11/04/2026 al 10/05/2026</t>
        </is>
      </c>
      <c r="C265" s="2" t="n">
        <v>46179</v>
      </c>
      <c r="D265" s="2" t="n">
        <v>46174</v>
      </c>
      <c r="E265" s="2" t="n">
        <v>46122</v>
      </c>
      <c r="F265" s="2" t="n">
        <v>46152</v>
      </c>
      <c r="G265" t="inlineStr">
        <is>
          <t>YOLIT VILLANUEVA ALEGRIA</t>
        </is>
      </c>
      <c r="H265" t="inlineStr">
        <is>
          <t>H1</t>
        </is>
      </c>
      <c r="I265" t="inlineStr">
        <is>
          <t>1</t>
        </is>
      </c>
      <c r="J265" t="n">
        <v>72</v>
      </c>
      <c r="K265" t="n">
        <v>77</v>
      </c>
      <c r="L265">
        <f>K265-J265</f>
        <v/>
      </c>
      <c r="M265" t="n">
        <v>5</v>
      </c>
      <c r="O265" t="n">
        <v>5</v>
      </c>
      <c r="S265" t="n">
        <v>3</v>
      </c>
      <c r="T265" s="3">
        <f>SUM(O265:S265)</f>
        <v/>
      </c>
      <c r="U265" s="3">
        <f>IF(P265&lt;8,"USTED ESTÁ AL DÍA","USTED NO ESTÁ AL DÍA")</f>
        <v/>
      </c>
      <c r="V265" s="3" t="inlineStr">
        <is>
          <t>PAGO PRESENCIAL:  05/06 de 4-6 pm (LOCAL DEL PUEBLO), PAGO YAPE: 948 227 636</t>
        </is>
      </c>
      <c r="Y265">
        <f>T265+W265+X265</f>
        <v/>
      </c>
    </row>
    <row r="266" hidden="1" ht="15.75" customHeight="1" s="4">
      <c r="A266" s="3" t="n">
        <v>17160</v>
      </c>
      <c r="B266" s="3" t="inlineStr">
        <is>
          <t>11/04/2026 al 10/05/2026</t>
        </is>
      </c>
      <c r="C266" s="2" t="n">
        <v>46179</v>
      </c>
      <c r="D266" s="2" t="n">
        <v>46174</v>
      </c>
      <c r="E266" s="2" t="n">
        <v>46122</v>
      </c>
      <c r="F266" s="2" t="n">
        <v>46152</v>
      </c>
      <c r="G266" t="inlineStr">
        <is>
          <t>JORGE ORENCIO MORENO ROSALES</t>
        </is>
      </c>
      <c r="H266" t="inlineStr">
        <is>
          <t>H1</t>
        </is>
      </c>
      <c r="I266" t="inlineStr">
        <is>
          <t>3</t>
        </is>
      </c>
      <c r="J266" t="n">
        <v>360</v>
      </c>
      <c r="K266" t="n">
        <v>369</v>
      </c>
      <c r="L266">
        <f>K266-J266</f>
        <v/>
      </c>
      <c r="M266" t="n">
        <v>9</v>
      </c>
      <c r="N266">
        <f>IF(L266&lt;&gt;M266,1,0)</f>
        <v/>
      </c>
      <c r="O266" t="n">
        <v>9</v>
      </c>
      <c r="S266" t="n">
        <v>3</v>
      </c>
      <c r="T266" s="3">
        <f>SUM(O266:S266)</f>
        <v/>
      </c>
      <c r="U266" s="3">
        <f>IF(P266&lt;8,"USTED ESTÁ AL DÍA","USTED NO ESTÁ AL DÍA")</f>
        <v/>
      </c>
      <c r="V266" s="3" t="inlineStr">
        <is>
          <t>PAGO PRESENCIAL:  05/06 de 4-6 pm (LOCAL DEL PUEBLO), PAGO YAPE: 948 227 636</t>
        </is>
      </c>
      <c r="X266" t="n">
        <v>50</v>
      </c>
      <c r="Y266">
        <f>T266+W266+X266</f>
        <v/>
      </c>
    </row>
    <row r="267" hidden="1" ht="15.75" customHeight="1" s="4">
      <c r="A267" s="3" t="n">
        <v>17161</v>
      </c>
      <c r="B267" s="3" t="inlineStr">
        <is>
          <t>11/04/2026 al 10/05/2026</t>
        </is>
      </c>
      <c r="C267" s="2" t="n">
        <v>46179</v>
      </c>
      <c r="D267" s="2" t="n">
        <v>46174</v>
      </c>
      <c r="E267" s="2" t="n">
        <v>46122</v>
      </c>
      <c r="F267" s="2" t="n">
        <v>46152</v>
      </c>
      <c r="G267" t="inlineStr">
        <is>
          <t>LIZBET VILLANUEVA ALEGRIA</t>
        </is>
      </c>
      <c r="H267" t="inlineStr">
        <is>
          <t>H1</t>
        </is>
      </c>
      <c r="I267" t="inlineStr">
        <is>
          <t>5</t>
        </is>
      </c>
      <c r="J267" t="n">
        <v>0</v>
      </c>
      <c r="K267" t="n">
        <v>0</v>
      </c>
      <c r="L267">
        <f>K267-J267</f>
        <v/>
      </c>
      <c r="M267" t="n">
        <v>5</v>
      </c>
      <c r="O267" t="n">
        <v>5</v>
      </c>
      <c r="S267" t="n">
        <v>3</v>
      </c>
      <c r="T267" s="3">
        <f>SUM(O267:S267)</f>
        <v/>
      </c>
      <c r="U267" s="3">
        <f>IF(P267&lt;8,"USTED ESTÁ AL DÍA","USTED NO ESTÁ AL DÍA")</f>
        <v/>
      </c>
      <c r="V267" s="3" t="inlineStr">
        <is>
          <t>PAGO PRESENCIAL:  05/06 de 4-6 pm (LOCAL DEL PUEBLO), PAGO YAPE: 948 227 636</t>
        </is>
      </c>
      <c r="Y267">
        <f>T267+W267+X267</f>
        <v/>
      </c>
    </row>
    <row r="268" hidden="1" ht="15.75" customHeight="1" s="4">
      <c r="A268" s="3" t="n">
        <v>17162</v>
      </c>
      <c r="B268" s="3" t="inlineStr">
        <is>
          <t>11/04/2026 al 10/05/2026</t>
        </is>
      </c>
      <c r="C268" s="2" t="n">
        <v>46179</v>
      </c>
      <c r="D268" s="2" t="n">
        <v>46174</v>
      </c>
      <c r="E268" s="2" t="n">
        <v>46122</v>
      </c>
      <c r="F268" s="2" t="n">
        <v>46152</v>
      </c>
      <c r="G268" t="inlineStr">
        <is>
          <t>MARYURI ZAPATA MARTINEZ</t>
        </is>
      </c>
      <c r="H268" t="inlineStr">
        <is>
          <t>H1</t>
        </is>
      </c>
      <c r="I268" t="inlineStr">
        <is>
          <t>7</t>
        </is>
      </c>
      <c r="J268" t="n">
        <v>298</v>
      </c>
      <c r="K268" t="n">
        <v>305</v>
      </c>
      <c r="L268">
        <f>K268-J268</f>
        <v/>
      </c>
      <c r="M268" t="n">
        <v>7</v>
      </c>
      <c r="N268">
        <f>IF(L268&lt;&gt;M268,1,0)</f>
        <v/>
      </c>
      <c r="O268" t="n">
        <v>7</v>
      </c>
      <c r="S268" t="n">
        <v>3</v>
      </c>
      <c r="T268" s="3">
        <f>SUM(O268:S268)</f>
        <v/>
      </c>
      <c r="U268" s="3">
        <f>IF(P268&lt;8,"USTED ESTÁ AL DÍA","USTED NO ESTÁ AL DÍA")</f>
        <v/>
      </c>
      <c r="V268" s="3" t="inlineStr">
        <is>
          <t>PAGO PRESENCIAL:  05/06 de 4-6 pm (LOCAL DEL PUEBLO), PAGO YAPE: 948 227 636</t>
        </is>
      </c>
      <c r="W268" t="n">
        <v>20</v>
      </c>
      <c r="X268" t="n">
        <v>50</v>
      </c>
      <c r="Y268">
        <f>T268+W268+X268</f>
        <v/>
      </c>
    </row>
    <row r="269" hidden="1" ht="15.75" customHeight="1" s="4">
      <c r="A269" s="3" t="n">
        <v>17163</v>
      </c>
      <c r="B269" s="3" t="inlineStr">
        <is>
          <t>11/04/2026 al 10/05/2026</t>
        </is>
      </c>
      <c r="C269" s="2" t="n">
        <v>46179</v>
      </c>
      <c r="D269" s="2" t="n">
        <v>46174</v>
      </c>
      <c r="E269" s="2" t="n">
        <v>46122</v>
      </c>
      <c r="F269" s="2" t="n">
        <v>46152</v>
      </c>
      <c r="G269" t="inlineStr">
        <is>
          <t>YICSON ZAPATA MARTINEZ</t>
        </is>
      </c>
      <c r="H269" t="inlineStr">
        <is>
          <t>H1</t>
        </is>
      </c>
      <c r="I269" t="inlineStr">
        <is>
          <t>8</t>
        </is>
      </c>
      <c r="J269" t="n">
        <v>477</v>
      </c>
      <c r="K269" t="n">
        <v>486</v>
      </c>
      <c r="L269">
        <f>K269-J269</f>
        <v/>
      </c>
      <c r="M269" t="n">
        <v>9</v>
      </c>
      <c r="N269">
        <f>IF(L269&lt;&gt;M269,1,0)</f>
        <v/>
      </c>
      <c r="O269" t="n">
        <v>9</v>
      </c>
      <c r="S269" t="n">
        <v>3</v>
      </c>
      <c r="T269" s="3">
        <f>SUM(O269:S269)</f>
        <v/>
      </c>
      <c r="U269" s="3">
        <f>IF(P269&lt;8,"USTED ESTÁ AL DÍA","USTED NO ESTÁ AL DÍA")</f>
        <v/>
      </c>
      <c r="V269" s="3" t="inlineStr">
        <is>
          <t>PAGO PRESENCIAL:  05/06 de 4-6 pm (LOCAL DEL PUEBLO), PAGO YAPE: 948 227 636</t>
        </is>
      </c>
      <c r="W269" t="n">
        <v>20</v>
      </c>
      <c r="Y269">
        <f>T269+W269+X269</f>
        <v/>
      </c>
    </row>
    <row r="270" hidden="1" ht="15.75" customHeight="1" s="4">
      <c r="A270" s="3" t="n">
        <v>17164</v>
      </c>
      <c r="B270" s="3" t="inlineStr">
        <is>
          <t>11/04/2026 al 10/05/2026</t>
        </is>
      </c>
      <c r="C270" s="2" t="n">
        <v>46179</v>
      </c>
      <c r="D270" s="2" t="n">
        <v>46174</v>
      </c>
      <c r="E270" s="2" t="n">
        <v>46122</v>
      </c>
      <c r="F270" s="2" t="n">
        <v>46152</v>
      </c>
      <c r="G270" t="inlineStr">
        <is>
          <t>JIMN ZAPATA MARTINEZ</t>
        </is>
      </c>
      <c r="H270" t="inlineStr">
        <is>
          <t>H1</t>
        </is>
      </c>
      <c r="I270" t="inlineStr">
        <is>
          <t>9</t>
        </is>
      </c>
      <c r="J270" t="n">
        <v>132</v>
      </c>
      <c r="K270" t="n">
        <v>132</v>
      </c>
      <c r="L270">
        <f>K270-J270</f>
        <v/>
      </c>
      <c r="M270" t="n">
        <v>5</v>
      </c>
      <c r="O270" t="n">
        <v>5</v>
      </c>
      <c r="S270" t="n">
        <v>3</v>
      </c>
      <c r="T270" s="3">
        <f>SUM(O270:S270)</f>
        <v/>
      </c>
      <c r="U270" s="3">
        <f>IF(P270&lt;8,"USTED ESTÁ AL DÍA","USTED NO ESTÁ AL DÍA")</f>
        <v/>
      </c>
      <c r="V270" s="3" t="inlineStr">
        <is>
          <t>PAGO PRESENCIAL:  05/06 de 4-6 pm (LOCAL DEL PUEBLO), PAGO YAPE: 948 227 636</t>
        </is>
      </c>
      <c r="W270" t="n">
        <v>50</v>
      </c>
      <c r="Y270">
        <f>T270+W270+X270</f>
        <v/>
      </c>
    </row>
    <row r="271" hidden="1" ht="15.75" customHeight="1" s="4">
      <c r="A271" s="3" t="n">
        <v>17165</v>
      </c>
      <c r="B271" s="3" t="inlineStr">
        <is>
          <t>11/04/2026 al 10/05/2026</t>
        </is>
      </c>
      <c r="C271" s="2" t="n">
        <v>46179</v>
      </c>
      <c r="D271" s="2" t="n">
        <v>46174</v>
      </c>
      <c r="E271" s="2" t="n">
        <v>46122</v>
      </c>
      <c r="F271" s="2" t="n">
        <v>46152</v>
      </c>
      <c r="G271" t="inlineStr">
        <is>
          <t>FELICIA ZAPATA FLORES</t>
        </is>
      </c>
      <c r="H271" t="inlineStr">
        <is>
          <t>H1</t>
        </is>
      </c>
      <c r="I271" t="inlineStr">
        <is>
          <t>11</t>
        </is>
      </c>
      <c r="J271" t="n">
        <v>390</v>
      </c>
      <c r="K271" t="n">
        <v>392</v>
      </c>
      <c r="L271">
        <f>K271-J271</f>
        <v/>
      </c>
      <c r="M271" t="n">
        <v>5</v>
      </c>
      <c r="O271" t="n">
        <v>5</v>
      </c>
      <c r="Q271" t="n">
        <v>20</v>
      </c>
      <c r="S271" t="n">
        <v>3</v>
      </c>
      <c r="T271" s="3">
        <f>SUM(O271:S271)</f>
        <v/>
      </c>
      <c r="U271" s="3">
        <f>IF(P271&lt;8,"USTED ESTÁ AL DÍA","USTED NO ESTÁ AL DÍA")</f>
        <v/>
      </c>
      <c r="V271" s="3" t="inlineStr">
        <is>
          <t>PAGO PRESENCIAL:  05/06 de 4-6 pm (LOCAL DEL PUEBLO), PAGO YAPE: 948 227 636</t>
        </is>
      </c>
      <c r="W271" t="n">
        <v>20</v>
      </c>
      <c r="X271" t="n">
        <v>5</v>
      </c>
      <c r="Y271">
        <f>T271+W271+X271</f>
        <v/>
      </c>
    </row>
    <row r="272" hidden="1" ht="15.75" customHeight="1" s="4">
      <c r="A272" s="3" t="n">
        <v>17166</v>
      </c>
      <c r="B272" s="3" t="inlineStr">
        <is>
          <t>11/04/2026 al 10/05/2026</t>
        </is>
      </c>
      <c r="C272" s="2" t="n">
        <v>46179</v>
      </c>
      <c r="D272" s="2" t="n">
        <v>46174</v>
      </c>
      <c r="E272" s="2" t="n">
        <v>46122</v>
      </c>
      <c r="F272" s="2" t="n">
        <v>46152</v>
      </c>
      <c r="G272" t="inlineStr">
        <is>
          <t>DAVID LUIS EVARISTO</t>
        </is>
      </c>
      <c r="H272" t="inlineStr">
        <is>
          <t>H1</t>
        </is>
      </c>
      <c r="I272" t="inlineStr">
        <is>
          <t>6</t>
        </is>
      </c>
      <c r="J272" t="n">
        <v>632</v>
      </c>
      <c r="K272" t="n">
        <v>637</v>
      </c>
      <c r="L272">
        <f>K272-J272</f>
        <v/>
      </c>
      <c r="M272" t="n">
        <v>5</v>
      </c>
      <c r="O272" t="n">
        <v>5</v>
      </c>
      <c r="S272" t="n">
        <v>3</v>
      </c>
      <c r="T272" s="3">
        <f>SUM(O272:S272)</f>
        <v/>
      </c>
      <c r="U272" s="3">
        <f>IF(P272&lt;8,"USTED ESTÁ AL DÍA","USTED NO ESTÁ AL DÍA")</f>
        <v/>
      </c>
      <c r="V272" s="3" t="inlineStr">
        <is>
          <t>PAGO PRESENCIAL:  05/06 de 4-6 pm (LOCAL DEL PUEBLO), PAGO YAPE: 948 227 636</t>
        </is>
      </c>
      <c r="Y272">
        <f>T272+W272+X272</f>
        <v/>
      </c>
    </row>
    <row r="273" hidden="1" ht="15.75" customHeight="1" s="4">
      <c r="A273" s="3" t="n">
        <v>17167</v>
      </c>
      <c r="B273" s="3" t="inlineStr">
        <is>
          <t>11/04/2026 al 10/05/2026</t>
        </is>
      </c>
      <c r="C273" s="2" t="n">
        <v>46179</v>
      </c>
      <c r="D273" s="2" t="n">
        <v>46174</v>
      </c>
      <c r="E273" s="2" t="n">
        <v>46122</v>
      </c>
      <c r="F273" s="2" t="n">
        <v>46152</v>
      </c>
      <c r="G273" t="inlineStr">
        <is>
          <t>DANTE MEZA MONTALVO</t>
        </is>
      </c>
      <c r="H273" t="inlineStr">
        <is>
          <t>H1</t>
        </is>
      </c>
      <c r="I273" t="inlineStr">
        <is>
          <t>12</t>
        </is>
      </c>
      <c r="J273" t="n">
        <v>719</v>
      </c>
      <c r="K273" t="n">
        <v>727</v>
      </c>
      <c r="L273">
        <f>K273-J273</f>
        <v/>
      </c>
      <c r="M273" t="n">
        <v>8</v>
      </c>
      <c r="N273">
        <f>IF(L273&lt;&gt;M273,1,0)</f>
        <v/>
      </c>
      <c r="O273" t="n">
        <v>8</v>
      </c>
      <c r="S273" t="n">
        <v>3</v>
      </c>
      <c r="T273" s="3">
        <f>SUM(O273:S273)</f>
        <v/>
      </c>
      <c r="U273" s="3">
        <f>IF(P273&lt;8,"USTED ESTÁ AL DÍA","USTED NO ESTÁ AL DÍA")</f>
        <v/>
      </c>
      <c r="V273" s="3" t="inlineStr">
        <is>
          <t>PAGO PRESENCIAL:  05/06 de 4-6 pm (LOCAL DEL PUEBLO), PAGO YAPE: 948 227 636</t>
        </is>
      </c>
      <c r="Y273">
        <f>T273+W273+X273</f>
        <v/>
      </c>
    </row>
    <row r="274" hidden="1" ht="15.75" customHeight="1" s="4">
      <c r="A274" s="3" t="n">
        <v>17168</v>
      </c>
      <c r="B274" s="3" t="inlineStr">
        <is>
          <t>11/04/2026 al 10/05/2026</t>
        </is>
      </c>
      <c r="C274" s="2" t="n">
        <v>46179</v>
      </c>
      <c r="D274" s="2" t="n">
        <v>46174</v>
      </c>
      <c r="E274" s="2" t="n">
        <v>46122</v>
      </c>
      <c r="F274" s="2" t="n">
        <v>46152</v>
      </c>
      <c r="G274" t="inlineStr">
        <is>
          <t>JUAN CARLOS GRACIANO SALES</t>
        </is>
      </c>
      <c r="H274" t="inlineStr">
        <is>
          <t>H1</t>
        </is>
      </c>
      <c r="I274" t="inlineStr">
        <is>
          <t>13</t>
        </is>
      </c>
      <c r="J274" t="n">
        <v>202</v>
      </c>
      <c r="K274" t="n">
        <v>211</v>
      </c>
      <c r="L274">
        <f>K274-J274</f>
        <v/>
      </c>
      <c r="M274" t="n">
        <v>9</v>
      </c>
      <c r="N274">
        <f>IF(L274&lt;&gt;M274,1,0)</f>
        <v/>
      </c>
      <c r="O274" t="n">
        <v>9</v>
      </c>
      <c r="S274" t="n">
        <v>3</v>
      </c>
      <c r="T274" s="3">
        <f>SUM(O274:S274)</f>
        <v/>
      </c>
      <c r="U274" s="3">
        <f>IF(P274&lt;8,"USTED ESTÁ AL DÍA","USTED NO ESTÁ AL DÍA")</f>
        <v/>
      </c>
      <c r="V274" s="3" t="inlineStr">
        <is>
          <t>PAGO PRESENCIAL:  05/06 de 4-6 pm (LOCAL DEL PUEBLO), PAGO YAPE: 948 227 636</t>
        </is>
      </c>
      <c r="W274" t="n">
        <v>50</v>
      </c>
      <c r="Y274">
        <f>T274+W274+X274</f>
        <v/>
      </c>
    </row>
    <row r="275" hidden="1" ht="15.75" customHeight="1" s="4">
      <c r="A275" s="3" t="n">
        <v>17169</v>
      </c>
      <c r="B275" s="3" t="inlineStr">
        <is>
          <t>11/04/2026 al 10/05/2026</t>
        </is>
      </c>
      <c r="C275" s="2" t="n">
        <v>46179</v>
      </c>
      <c r="D275" s="2" t="n">
        <v>46174</v>
      </c>
      <c r="E275" s="2" t="n">
        <v>46122</v>
      </c>
      <c r="F275" s="2" t="n">
        <v>46152</v>
      </c>
      <c r="G275" t="inlineStr">
        <is>
          <t>PATRICIA TARAZONA CARBAJAL</t>
        </is>
      </c>
      <c r="H275" t="inlineStr">
        <is>
          <t>H1</t>
        </is>
      </c>
      <c r="I275" t="inlineStr">
        <is>
          <t>15</t>
        </is>
      </c>
      <c r="J275" t="n">
        <v>667</v>
      </c>
      <c r="K275" t="n">
        <v>676</v>
      </c>
      <c r="L275">
        <f>K275-J275</f>
        <v/>
      </c>
      <c r="M275" t="n">
        <v>9</v>
      </c>
      <c r="N275">
        <f>IF(L275&lt;&gt;M275,1,0)</f>
        <v/>
      </c>
      <c r="O275" t="n">
        <v>9</v>
      </c>
      <c r="S275" t="n">
        <v>3</v>
      </c>
      <c r="T275" s="3">
        <f>SUM(O275:S275)</f>
        <v/>
      </c>
      <c r="U275" s="3">
        <f>IF(P275&lt;8,"USTED ESTÁ AL DÍA","USTED NO ESTÁ AL DÍA")</f>
        <v/>
      </c>
      <c r="V275" s="3" t="inlineStr">
        <is>
          <t>PAGO PRESENCIAL:  05/06 de 4-6 pm (LOCAL DEL PUEBLO), PAGO YAPE: 948 227 636</t>
        </is>
      </c>
      <c r="W275" t="n">
        <v>20</v>
      </c>
      <c r="Y275">
        <f>T275+W275+X275</f>
        <v/>
      </c>
    </row>
    <row r="276" hidden="1" ht="15.75" customHeight="1" s="4">
      <c r="A276" s="3" t="n">
        <v>17170</v>
      </c>
      <c r="B276" s="3" t="inlineStr">
        <is>
          <t>11/04/2026 al 10/05/2026</t>
        </is>
      </c>
      <c r="C276" s="2" t="n">
        <v>46179</v>
      </c>
      <c r="D276" s="2" t="n">
        <v>46174</v>
      </c>
      <c r="E276" s="2" t="n">
        <v>46122</v>
      </c>
      <c r="F276" s="2" t="n">
        <v>46152</v>
      </c>
      <c r="G276" t="inlineStr">
        <is>
          <t>MARLENY SAMARITANO HEREDIA</t>
        </is>
      </c>
      <c r="H276" t="inlineStr">
        <is>
          <t>H1</t>
        </is>
      </c>
      <c r="I276" t="inlineStr">
        <is>
          <t>16</t>
        </is>
      </c>
      <c r="J276" t="n">
        <v>23</v>
      </c>
      <c r="K276" t="n">
        <v>24</v>
      </c>
      <c r="L276">
        <f>K276-J276</f>
        <v/>
      </c>
      <c r="M276" t="n">
        <v>5</v>
      </c>
      <c r="O276" t="n">
        <v>5</v>
      </c>
      <c r="S276" t="n">
        <v>3</v>
      </c>
      <c r="T276" s="3">
        <f>SUM(O276:S276)</f>
        <v/>
      </c>
      <c r="U276" s="3">
        <f>IF(P276&lt;8,"USTED ESTÁ AL DÍA","USTED NO ESTÁ AL DÍA")</f>
        <v/>
      </c>
      <c r="V276" s="3" t="inlineStr">
        <is>
          <t>PAGO PRESENCIAL:  05/06 de 4-6 pm (LOCAL DEL PUEBLO), PAGO YAPE: 948 227 636</t>
        </is>
      </c>
      <c r="W276" t="n">
        <v>50</v>
      </c>
      <c r="X276" t="n">
        <v>75</v>
      </c>
      <c r="Y276">
        <f>T276+W276+X276</f>
        <v/>
      </c>
    </row>
    <row r="277" hidden="1" ht="15.75" customHeight="1" s="4">
      <c r="A277" s="3" t="n">
        <v>17171</v>
      </c>
      <c r="B277" s="3" t="inlineStr">
        <is>
          <t>11/04/2026 al 10/05/2026</t>
        </is>
      </c>
      <c r="C277" s="2" t="n">
        <v>46179</v>
      </c>
      <c r="D277" s="2" t="n">
        <v>46174</v>
      </c>
      <c r="E277" s="2" t="n">
        <v>46122</v>
      </c>
      <c r="F277" s="2" t="n">
        <v>46152</v>
      </c>
      <c r="G277" t="inlineStr">
        <is>
          <t>OLINDA ASCURRA CONTRERAS</t>
        </is>
      </c>
      <c r="H277" t="inlineStr">
        <is>
          <t>H1</t>
        </is>
      </c>
      <c r="I277" t="inlineStr">
        <is>
          <t>35</t>
        </is>
      </c>
      <c r="J277" t="n">
        <v>207</v>
      </c>
      <c r="K277" t="n">
        <v>213</v>
      </c>
      <c r="L277">
        <f>K277-J277</f>
        <v/>
      </c>
      <c r="M277" t="n">
        <v>6</v>
      </c>
      <c r="N277">
        <f>IF(L277&lt;&gt;M277,1,0)</f>
        <v/>
      </c>
      <c r="O277" t="n">
        <v>6</v>
      </c>
      <c r="S277" t="n">
        <v>3</v>
      </c>
      <c r="T277" s="3">
        <f>SUM(O277:S277)</f>
        <v/>
      </c>
      <c r="U277" s="3">
        <f>IF(P277&lt;8,"USTED ESTÁ AL DÍA","USTED NO ESTÁ AL DÍA")</f>
        <v/>
      </c>
      <c r="V277" s="3" t="inlineStr">
        <is>
          <t>PAGO PRESENCIAL:  05/06 de 4-6 pm (LOCAL DEL PUEBLO), PAGO YAPE: 948 227 636</t>
        </is>
      </c>
      <c r="W277" t="n">
        <v>20</v>
      </c>
      <c r="Y277">
        <f>T277+W277+X277</f>
        <v/>
      </c>
    </row>
    <row r="278" hidden="1" ht="15.75" customHeight="1" s="4">
      <c r="A278" s="3" t="n">
        <v>17172</v>
      </c>
      <c r="B278" s="3" t="inlineStr">
        <is>
          <t>11/04/2026 al 10/05/2026</t>
        </is>
      </c>
      <c r="C278" s="2" t="n">
        <v>46179</v>
      </c>
      <c r="D278" s="2" t="n">
        <v>46174</v>
      </c>
      <c r="E278" s="2" t="n">
        <v>46122</v>
      </c>
      <c r="F278" s="2" t="n">
        <v>46152</v>
      </c>
      <c r="G278" t="inlineStr">
        <is>
          <t>TITO COSME CASTILLEJO</t>
        </is>
      </c>
      <c r="H278" t="inlineStr">
        <is>
          <t>H1</t>
        </is>
      </c>
      <c r="I278" t="inlineStr">
        <is>
          <t>36</t>
        </is>
      </c>
      <c r="J278" t="n">
        <v>491</v>
      </c>
      <c r="K278" t="n">
        <v>497</v>
      </c>
      <c r="L278">
        <f>K278-J278</f>
        <v/>
      </c>
      <c r="M278" t="n">
        <v>6</v>
      </c>
      <c r="N278">
        <f>IF(L278&lt;&gt;M278,1,0)</f>
        <v/>
      </c>
      <c r="O278" t="n">
        <v>6</v>
      </c>
      <c r="S278" t="n">
        <v>3</v>
      </c>
      <c r="T278" s="3">
        <f>SUM(O278:S278)</f>
        <v/>
      </c>
      <c r="U278" s="3">
        <f>IF(P278&lt;8,"USTED ESTÁ AL DÍA","USTED NO ESTÁ AL DÍA")</f>
        <v/>
      </c>
      <c r="V278" s="3" t="inlineStr">
        <is>
          <t>PAGO PRESENCIAL:  05/06 de 4-6 pm (LOCAL DEL PUEBLO), PAGO YAPE: 948 227 636</t>
        </is>
      </c>
      <c r="W278" t="n">
        <v>30</v>
      </c>
      <c r="Y278">
        <f>T278+W278+X278</f>
        <v/>
      </c>
    </row>
    <row r="279" hidden="1" ht="15.75" customHeight="1" s="4">
      <c r="A279" s="3" t="n">
        <v>17173</v>
      </c>
      <c r="B279" s="3" t="inlineStr">
        <is>
          <t>11/04/2026 al 10/05/2026</t>
        </is>
      </c>
      <c r="C279" s="2" t="n">
        <v>46179</v>
      </c>
      <c r="D279" s="2" t="n">
        <v>46174</v>
      </c>
      <c r="E279" s="2" t="n">
        <v>46122</v>
      </c>
      <c r="F279" s="2" t="n">
        <v>46152</v>
      </c>
      <c r="G279" t="inlineStr">
        <is>
          <t>ZENON MARTIN BURGA TORRES</t>
        </is>
      </c>
      <c r="H279" t="inlineStr">
        <is>
          <t>H1</t>
        </is>
      </c>
      <c r="I279" t="inlineStr">
        <is>
          <t>10</t>
        </is>
      </c>
      <c r="L279">
        <f>K279-J279</f>
        <v/>
      </c>
      <c r="S279" t="n">
        <v>0</v>
      </c>
      <c r="T279" s="3">
        <f>SUM(O279:S279)</f>
        <v/>
      </c>
      <c r="U279" s="3">
        <f>IF(P279&lt;8,"USTED ESTÁ AL DÍA","USTED NO ESTÁ AL DÍA")</f>
        <v/>
      </c>
      <c r="V279" s="3" t="inlineStr">
        <is>
          <t>PAGO PRESENCIAL:  05/06 de 4-6 pm (LOCAL DEL PUEBLO), PAGO YAPE: 948 227 636</t>
        </is>
      </c>
      <c r="W279" t="n">
        <v>50</v>
      </c>
      <c r="Y279">
        <f>T279+W279+X279</f>
        <v/>
      </c>
    </row>
    <row r="280" hidden="1" ht="15.75" customHeight="1" s="4">
      <c r="A280" s="3" t="n">
        <v>17174</v>
      </c>
      <c r="B280" s="3" t="inlineStr">
        <is>
          <t>11/04/2026 al 10/05/2026</t>
        </is>
      </c>
      <c r="C280" s="2" t="n">
        <v>46179</v>
      </c>
      <c r="D280" s="2" t="n">
        <v>46174</v>
      </c>
      <c r="E280" s="2" t="n">
        <v>46122</v>
      </c>
      <c r="F280" s="2" t="n">
        <v>46152</v>
      </c>
      <c r="G280" t="inlineStr">
        <is>
          <t>OSWALDO WALTER OCAÑA CASCA</t>
        </is>
      </c>
      <c r="H280" t="inlineStr">
        <is>
          <t>H1</t>
        </is>
      </c>
      <c r="I280" t="inlineStr">
        <is>
          <t>2</t>
        </is>
      </c>
      <c r="L280">
        <f>K280-J280</f>
        <v/>
      </c>
      <c r="S280" t="n">
        <v>0</v>
      </c>
      <c r="T280" s="3">
        <f>SUM(O280:S280)</f>
        <v/>
      </c>
      <c r="U280" s="3">
        <f>IF(P280&lt;8,"USTED ESTÁ AL DÍA","USTED NO ESTÁ AL DÍA")</f>
        <v/>
      </c>
      <c r="V280" s="3" t="inlineStr">
        <is>
          <t>PAGO PRESENCIAL:  05/06 de 4-6 pm (LOCAL DEL PUEBLO), PAGO YAPE: 948 227 636</t>
        </is>
      </c>
      <c r="W280" t="n">
        <v>30</v>
      </c>
      <c r="X280" t="n">
        <v>50</v>
      </c>
      <c r="Y280">
        <f>T280+W280+X280</f>
        <v/>
      </c>
    </row>
    <row r="281" hidden="1" ht="15.75" customHeight="1" s="4">
      <c r="A281" s="3" t="n">
        <v>17175</v>
      </c>
      <c r="B281" s="3" t="inlineStr">
        <is>
          <t>11/04/2026 al 10/05/2026</t>
        </is>
      </c>
      <c r="C281" s="2" t="n">
        <v>46179</v>
      </c>
      <c r="D281" s="2" t="n">
        <v>46174</v>
      </c>
      <c r="E281" s="2" t="n">
        <v>46122</v>
      </c>
      <c r="F281" s="2" t="n">
        <v>46152</v>
      </c>
      <c r="G281" t="inlineStr">
        <is>
          <t>NELSON NOE MONTALVO CANO</t>
        </is>
      </c>
      <c r="H281" t="inlineStr">
        <is>
          <t>H1</t>
        </is>
      </c>
      <c r="I281" t="inlineStr">
        <is>
          <t>4</t>
        </is>
      </c>
      <c r="L281">
        <f>K281-J281</f>
        <v/>
      </c>
      <c r="S281" t="n">
        <v>0</v>
      </c>
      <c r="T281" s="3">
        <f>SUM(O281:S281)</f>
        <v/>
      </c>
      <c r="U281" s="3">
        <f>IF(P281&lt;8,"USTED ESTÁ AL DÍA","USTED NO ESTÁ AL DÍA")</f>
        <v/>
      </c>
      <c r="V281" s="3" t="inlineStr">
        <is>
          <t>PAGO PRESENCIAL:  05/06 de 4-6 pm (LOCAL DEL PUEBLO), PAGO YAPE: 948 227 636</t>
        </is>
      </c>
      <c r="W281" t="n">
        <v>50</v>
      </c>
      <c r="Y281">
        <f>T281+W281+X281</f>
        <v/>
      </c>
    </row>
    <row r="282" hidden="1" ht="15.75" customHeight="1" s="4">
      <c r="A282" s="3" t="n">
        <v>17176</v>
      </c>
      <c r="B282" s="3" t="inlineStr">
        <is>
          <t>11/04/2026 al 10/05/2026</t>
        </is>
      </c>
      <c r="C282" s="2" t="n">
        <v>46179</v>
      </c>
      <c r="D282" s="2" t="n">
        <v>46174</v>
      </c>
      <c r="E282" s="2" t="n">
        <v>46122</v>
      </c>
      <c r="F282" s="2" t="n">
        <v>46152</v>
      </c>
      <c r="G282" t="inlineStr">
        <is>
          <t>LOLA MAURICIA ZORRILLA MEDINA</t>
        </is>
      </c>
      <c r="H282" t="inlineStr">
        <is>
          <t>I</t>
        </is>
      </c>
      <c r="I282" t="inlineStr">
        <is>
          <t>1</t>
        </is>
      </c>
      <c r="J282" t="n">
        <v>41</v>
      </c>
      <c r="K282" t="n">
        <v>72</v>
      </c>
      <c r="L282">
        <f>K282-J282</f>
        <v/>
      </c>
      <c r="M282" t="n">
        <v>31</v>
      </c>
      <c r="N282">
        <f>IF(L282&lt;&gt;M282,1,0)</f>
        <v/>
      </c>
      <c r="O282" t="n">
        <v>31</v>
      </c>
      <c r="R282" t="n">
        <v>25</v>
      </c>
      <c r="S282" t="n">
        <v>3</v>
      </c>
      <c r="T282" s="3">
        <f>SUM(O282:S282)</f>
        <v/>
      </c>
      <c r="U282" s="3">
        <f>IF(P282&lt;8,"USTED ESTÁ AL DÍA","USTED NO ESTÁ AL DÍA")</f>
        <v/>
      </c>
      <c r="V282" s="3" t="inlineStr">
        <is>
          <t>PAGO PRESENCIAL:  05/06 de 4-6 pm (LOCAL DEL PUEBLO), PAGO YAPE: 948 227 636</t>
        </is>
      </c>
      <c r="W282" t="n">
        <v>50</v>
      </c>
      <c r="Y282">
        <f>T282+W282+X282</f>
        <v/>
      </c>
    </row>
    <row r="283" hidden="1" ht="15.75" customHeight="1" s="4">
      <c r="A283" s="3" t="n">
        <v>17177</v>
      </c>
      <c r="B283" s="3" t="inlineStr">
        <is>
          <t>11/04/2026 al 10/05/2026</t>
        </is>
      </c>
      <c r="C283" s="2" t="n">
        <v>46179</v>
      </c>
      <c r="D283" s="2" t="n">
        <v>46174</v>
      </c>
      <c r="E283" s="2" t="n">
        <v>46122</v>
      </c>
      <c r="F283" s="2" t="n">
        <v>46152</v>
      </c>
      <c r="G283" t="inlineStr">
        <is>
          <t>ELEUTERIA LIBIA PAJUELO ATANACIO</t>
        </is>
      </c>
      <c r="H283" t="inlineStr">
        <is>
          <t>I</t>
        </is>
      </c>
      <c r="I283" t="inlineStr">
        <is>
          <t>2</t>
        </is>
      </c>
      <c r="J283" t="n">
        <v>572</v>
      </c>
      <c r="K283" t="n">
        <v>582</v>
      </c>
      <c r="L283">
        <f>K283-J283</f>
        <v/>
      </c>
      <c r="M283" t="n">
        <v>10</v>
      </c>
      <c r="N283">
        <f>IF(L283&lt;&gt;M283,1,0)</f>
        <v/>
      </c>
      <c r="O283" t="n">
        <v>10</v>
      </c>
      <c r="S283" t="n">
        <v>3</v>
      </c>
      <c r="T283" s="3">
        <f>SUM(O283:S283)</f>
        <v/>
      </c>
      <c r="U283" s="3">
        <f>IF(P283&lt;8,"USTED ESTÁ AL DÍA","USTED NO ESTÁ AL DÍA")</f>
        <v/>
      </c>
      <c r="V283" s="3" t="inlineStr">
        <is>
          <t>PAGO PRESENCIAL:  05/06 de 4-6 pm (LOCAL DEL PUEBLO), PAGO YAPE: 948 227 636</t>
        </is>
      </c>
      <c r="Y283">
        <f>T283+W283+X283</f>
        <v/>
      </c>
    </row>
    <row r="284" hidden="1" ht="15.75" customHeight="1" s="4">
      <c r="A284" s="3" t="n">
        <v>17178</v>
      </c>
      <c r="B284" s="3" t="inlineStr">
        <is>
          <t>11/04/2026 al 10/05/2026</t>
        </is>
      </c>
      <c r="C284" s="2" t="n">
        <v>46179</v>
      </c>
      <c r="D284" s="2" t="n">
        <v>46174</v>
      </c>
      <c r="E284" s="2" t="n">
        <v>46122</v>
      </c>
      <c r="F284" s="2" t="n">
        <v>46152</v>
      </c>
      <c r="G284" t="inlineStr">
        <is>
          <t>RAMOS SATURNINO MENDOZA</t>
        </is>
      </c>
      <c r="H284" t="inlineStr">
        <is>
          <t>I</t>
        </is>
      </c>
      <c r="I284" t="inlineStr">
        <is>
          <t>3</t>
        </is>
      </c>
      <c r="J284" t="n">
        <v>2024</v>
      </c>
      <c r="K284" t="n">
        <v>2042</v>
      </c>
      <c r="L284">
        <f>K284-J284</f>
        <v/>
      </c>
      <c r="M284" t="n">
        <v>18</v>
      </c>
      <c r="N284">
        <f>IF(L284&lt;&gt;M284,1,0)</f>
        <v/>
      </c>
      <c r="O284" t="n">
        <v>18</v>
      </c>
      <c r="S284" t="n">
        <v>3</v>
      </c>
      <c r="T284" s="3">
        <f>SUM(O284:S284)</f>
        <v/>
      </c>
      <c r="U284" s="3">
        <f>IF(P284&lt;8,"USTED ESTÁ AL DÍA","USTED NO ESTÁ AL DÍA")</f>
        <v/>
      </c>
      <c r="V284" s="3" t="inlineStr">
        <is>
          <t>PAGO PRESENCIAL:  05/06 de 4-6 pm (LOCAL DEL PUEBLO), PAGO YAPE: 948 227 636</t>
        </is>
      </c>
      <c r="W284" t="n">
        <v>50</v>
      </c>
      <c r="X284" t="n">
        <v>75</v>
      </c>
      <c r="Y284">
        <f>T284+W284+X284</f>
        <v/>
      </c>
    </row>
    <row r="285" hidden="1" ht="15.75" customHeight="1" s="4">
      <c r="A285" s="3" t="n">
        <v>17179</v>
      </c>
      <c r="B285" s="3" t="inlineStr">
        <is>
          <t>11/04/2026 al 10/05/2026</t>
        </is>
      </c>
      <c r="C285" s="2" t="n">
        <v>46179</v>
      </c>
      <c r="D285" s="2" t="n">
        <v>46174</v>
      </c>
      <c r="E285" s="2" t="n">
        <v>46122</v>
      </c>
      <c r="F285" s="2" t="n">
        <v>46152</v>
      </c>
      <c r="G285" t="inlineStr">
        <is>
          <t>EUGENIO LEONCIO MOYA DURAND</t>
        </is>
      </c>
      <c r="H285" t="inlineStr">
        <is>
          <t>I</t>
        </is>
      </c>
      <c r="I285" t="inlineStr">
        <is>
          <t>4</t>
        </is>
      </c>
      <c r="J285" t="n">
        <v>688</v>
      </c>
      <c r="K285" t="n">
        <v>691</v>
      </c>
      <c r="L285">
        <f>K285-J285</f>
        <v/>
      </c>
      <c r="M285" t="n">
        <v>5</v>
      </c>
      <c r="O285" t="n">
        <v>5</v>
      </c>
      <c r="S285" t="n">
        <v>3</v>
      </c>
      <c r="T285" s="3">
        <f>SUM(O285:S285)</f>
        <v/>
      </c>
      <c r="U285" s="3">
        <f>IF(P285&lt;8,"USTED ESTÁ AL DÍA","USTED NO ESTÁ AL DÍA")</f>
        <v/>
      </c>
      <c r="V285" s="3" t="inlineStr">
        <is>
          <t>PAGO PRESENCIAL:  05/06 de 4-6 pm (LOCAL DEL PUEBLO), PAGO YAPE: 948 227 636</t>
        </is>
      </c>
      <c r="W285" t="n">
        <v>20</v>
      </c>
      <c r="Y285">
        <f>T285+W285+X285</f>
        <v/>
      </c>
    </row>
    <row r="286" hidden="1" ht="15.75" customHeight="1" s="4">
      <c r="A286" s="3" t="n">
        <v>17180</v>
      </c>
      <c r="B286" s="3" t="inlineStr">
        <is>
          <t>11/04/2026 al 10/05/2026</t>
        </is>
      </c>
      <c r="C286" s="2" t="n">
        <v>46179</v>
      </c>
      <c r="D286" s="2" t="n">
        <v>46174</v>
      </c>
      <c r="E286" s="2" t="n">
        <v>46122</v>
      </c>
      <c r="F286" s="2" t="n">
        <v>46152</v>
      </c>
      <c r="G286" t="inlineStr">
        <is>
          <t>PABLO ROSARIO QUISPE</t>
        </is>
      </c>
      <c r="H286" t="inlineStr">
        <is>
          <t>I</t>
        </is>
      </c>
      <c r="I286" t="inlineStr">
        <is>
          <t>5</t>
        </is>
      </c>
      <c r="J286" t="n">
        <v>3400</v>
      </c>
      <c r="K286" t="n">
        <v>3433</v>
      </c>
      <c r="L286">
        <f>K286-J286</f>
        <v/>
      </c>
      <c r="M286" t="n">
        <v>33</v>
      </c>
      <c r="N286">
        <f>IF(L286&lt;&gt;M286,1,0)</f>
        <v/>
      </c>
      <c r="O286" t="n">
        <v>33</v>
      </c>
      <c r="S286" t="n">
        <v>3</v>
      </c>
      <c r="T286" s="3">
        <f>SUM(O286:S286)</f>
        <v/>
      </c>
      <c r="U286" s="3">
        <f>IF(P286&lt;8,"USTED ESTÁ AL DÍA","USTED NO ESTÁ AL DÍA")</f>
        <v/>
      </c>
      <c r="V286" s="3" t="inlineStr">
        <is>
          <t>PAGO PRESENCIAL:  05/06 de 4-6 pm (LOCAL DEL PUEBLO), PAGO YAPE: 948 227 636</t>
        </is>
      </c>
      <c r="W286" t="n">
        <v>30</v>
      </c>
      <c r="Y286">
        <f>T286+W286+X286</f>
        <v/>
      </c>
    </row>
    <row r="287" hidden="1" ht="15.75" customHeight="1" s="4">
      <c r="A287" s="3" t="n">
        <v>17181</v>
      </c>
      <c r="B287" s="3" t="inlineStr">
        <is>
          <t>11/04/2026 al 10/05/2026</t>
        </is>
      </c>
      <c r="C287" s="2" t="n">
        <v>46179</v>
      </c>
      <c r="D287" s="2" t="n">
        <v>46174</v>
      </c>
      <c r="E287" s="2" t="n">
        <v>46122</v>
      </c>
      <c r="F287" s="2" t="n">
        <v>46152</v>
      </c>
      <c r="G287" t="inlineStr">
        <is>
          <t>AURELIO DE LA CRUZ PEREZ</t>
        </is>
      </c>
      <c r="H287" t="inlineStr">
        <is>
          <t>I</t>
        </is>
      </c>
      <c r="I287" t="inlineStr">
        <is>
          <t>6</t>
        </is>
      </c>
      <c r="J287" t="n">
        <v>483</v>
      </c>
      <c r="K287" t="n">
        <v>498</v>
      </c>
      <c r="L287">
        <f>K287-J287</f>
        <v/>
      </c>
      <c r="M287" t="n">
        <v>15</v>
      </c>
      <c r="N287">
        <f>IF(L287&lt;&gt;M287,1,0)</f>
        <v/>
      </c>
      <c r="O287" t="n">
        <v>15</v>
      </c>
      <c r="S287" t="n">
        <v>3</v>
      </c>
      <c r="T287" s="3">
        <f>SUM(O287:S287)</f>
        <v/>
      </c>
      <c r="U287" s="3">
        <f>IF(P287&lt;8,"USTED ESTÁ AL DÍA","USTED NO ESTÁ AL DÍA")</f>
        <v/>
      </c>
      <c r="V287" s="3" t="inlineStr">
        <is>
          <t>PAGO PRESENCIAL:  05/06 de 4-6 pm (LOCAL DEL PUEBLO), PAGO YAPE: 948 227 636</t>
        </is>
      </c>
      <c r="W287" t="n">
        <v>50</v>
      </c>
      <c r="X287" t="n">
        <v>50</v>
      </c>
      <c r="Y287">
        <f>T287+W287+X287</f>
        <v/>
      </c>
    </row>
    <row r="288" hidden="1" ht="15.75" customHeight="1" s="4">
      <c r="A288" s="3" t="n">
        <v>17182</v>
      </c>
      <c r="B288" s="3" t="inlineStr">
        <is>
          <t>11/04/2026 al 10/05/2026</t>
        </is>
      </c>
      <c r="C288" s="2" t="n">
        <v>46179</v>
      </c>
      <c r="D288" s="2" t="n">
        <v>46174</v>
      </c>
      <c r="E288" s="2" t="n">
        <v>46122</v>
      </c>
      <c r="F288" s="2" t="n">
        <v>46152</v>
      </c>
      <c r="G288" t="inlineStr">
        <is>
          <t>DARIO DIEGO ROSALES ROMERO</t>
        </is>
      </c>
      <c r="H288" t="inlineStr">
        <is>
          <t>I</t>
        </is>
      </c>
      <c r="I288" t="inlineStr">
        <is>
          <t>7</t>
        </is>
      </c>
      <c r="J288" t="n">
        <v>590</v>
      </c>
      <c r="K288" t="n">
        <v>603</v>
      </c>
      <c r="L288">
        <f>K288-J288</f>
        <v/>
      </c>
      <c r="M288" t="n">
        <v>13</v>
      </c>
      <c r="N288">
        <f>IF(L288&lt;&gt;M288,1,0)</f>
        <v/>
      </c>
      <c r="O288" t="n">
        <v>13</v>
      </c>
      <c r="P288" t="n">
        <v>1</v>
      </c>
      <c r="S288" t="n">
        <v>3</v>
      </c>
      <c r="T288" s="3">
        <f>SUM(O288:S288)</f>
        <v/>
      </c>
      <c r="U288" s="3">
        <f>IF(P288&lt;8,"USTED ESTÁ AL DÍA","USTED NO ESTÁ AL DÍA")</f>
        <v/>
      </c>
      <c r="V288" s="3" t="inlineStr">
        <is>
          <t>PAGO PRESENCIAL:  05/06 de 4-6 pm (LOCAL DEL PUEBLO), PAGO YAPE: 948 227 636</t>
        </is>
      </c>
      <c r="W288" t="n">
        <v>30</v>
      </c>
      <c r="Y288">
        <f>T288+W288+X288</f>
        <v/>
      </c>
    </row>
    <row r="289" hidden="1" ht="15.75" customHeight="1" s="4">
      <c r="A289" s="3" t="n">
        <v>17183</v>
      </c>
      <c r="B289" s="3" t="inlineStr">
        <is>
          <t>11/04/2026 al 10/05/2026</t>
        </is>
      </c>
      <c r="C289" s="2" t="n">
        <v>46179</v>
      </c>
      <c r="D289" s="2" t="n">
        <v>46174</v>
      </c>
      <c r="E289" s="2" t="n">
        <v>46122</v>
      </c>
      <c r="F289" s="2" t="n">
        <v>46152</v>
      </c>
      <c r="G289" t="inlineStr">
        <is>
          <t>ROSA CARDENAS ALVARADO</t>
        </is>
      </c>
      <c r="H289" t="inlineStr">
        <is>
          <t>I</t>
        </is>
      </c>
      <c r="I289" t="inlineStr">
        <is>
          <t>8</t>
        </is>
      </c>
      <c r="J289" t="n">
        <v>1</v>
      </c>
      <c r="K289" t="n">
        <v>2</v>
      </c>
      <c r="L289">
        <f>K289-J289</f>
        <v/>
      </c>
      <c r="M289" t="n">
        <v>5</v>
      </c>
      <c r="O289" t="n">
        <v>5</v>
      </c>
      <c r="S289" t="n">
        <v>3</v>
      </c>
      <c r="T289" s="3">
        <f>SUM(O289:S289)</f>
        <v/>
      </c>
      <c r="U289" s="3">
        <f>IF(P289&lt;8,"USTED ESTÁ AL DÍA","USTED NO ESTÁ AL DÍA")</f>
        <v/>
      </c>
      <c r="V289" s="3" t="inlineStr">
        <is>
          <t>PAGO PRESENCIAL:  05/06 de 4-6 pm (LOCAL DEL PUEBLO), PAGO YAPE: 948 227 636</t>
        </is>
      </c>
      <c r="W289" t="n">
        <v>50</v>
      </c>
      <c r="X289" t="n">
        <v>25</v>
      </c>
      <c r="Y289">
        <f>T289+W289+X289</f>
        <v/>
      </c>
    </row>
    <row r="290" hidden="1" ht="15.75" customHeight="1" s="4">
      <c r="A290" s="3" t="n">
        <v>17184</v>
      </c>
      <c r="B290" s="3" t="inlineStr">
        <is>
          <t>11/04/2026 al 10/05/2026</t>
        </is>
      </c>
      <c r="C290" s="2" t="n">
        <v>46179</v>
      </c>
      <c r="D290" s="2" t="n">
        <v>46174</v>
      </c>
      <c r="E290" s="2" t="n">
        <v>46122</v>
      </c>
      <c r="F290" s="2" t="n">
        <v>46152</v>
      </c>
      <c r="G290" t="inlineStr">
        <is>
          <t>JULIA CARDENAS ALVARADO</t>
        </is>
      </c>
      <c r="H290" t="inlineStr">
        <is>
          <t>I</t>
        </is>
      </c>
      <c r="I290" t="inlineStr">
        <is>
          <t>9</t>
        </is>
      </c>
      <c r="J290" t="n">
        <v>500</v>
      </c>
      <c r="K290" t="n">
        <v>508</v>
      </c>
      <c r="L290">
        <f>K290-J290</f>
        <v/>
      </c>
      <c r="M290" t="n">
        <v>8</v>
      </c>
      <c r="N290">
        <f>IF(L290&lt;&gt;M290,1,0)</f>
        <v/>
      </c>
      <c r="O290" t="n">
        <v>8</v>
      </c>
      <c r="S290" t="n">
        <v>3</v>
      </c>
      <c r="T290" s="3">
        <f>SUM(O290:S290)</f>
        <v/>
      </c>
      <c r="U290" s="3">
        <f>IF(P290&lt;8,"USTED ESTÁ AL DÍA","USTED NO ESTÁ AL DÍA")</f>
        <v/>
      </c>
      <c r="V290" s="3" t="inlineStr">
        <is>
          <t>PAGO PRESENCIAL:  05/06 de 4-6 pm (LOCAL DEL PUEBLO), PAGO YAPE: 948 227 636</t>
        </is>
      </c>
      <c r="W290" t="n">
        <v>50</v>
      </c>
      <c r="X290" t="n">
        <v>75</v>
      </c>
      <c r="Y290">
        <f>T290+W290+X290</f>
        <v/>
      </c>
    </row>
    <row r="291" hidden="1" ht="15.75" customHeight="1" s="4">
      <c r="A291" s="3" t="n">
        <v>17185</v>
      </c>
      <c r="B291" s="3" t="inlineStr">
        <is>
          <t>11/04/2026 al 10/05/2026</t>
        </is>
      </c>
      <c r="C291" s="2" t="n">
        <v>46179</v>
      </c>
      <c r="D291" s="2" t="n">
        <v>46174</v>
      </c>
      <c r="E291" s="2" t="n">
        <v>46122</v>
      </c>
      <c r="F291" s="2" t="n">
        <v>46152</v>
      </c>
      <c r="G291" t="inlineStr">
        <is>
          <t>OTILIA RAMIRES LUCIANO</t>
        </is>
      </c>
      <c r="H291" t="inlineStr">
        <is>
          <t>I</t>
        </is>
      </c>
      <c r="I291" t="inlineStr">
        <is>
          <t>10</t>
        </is>
      </c>
      <c r="J291" t="n">
        <v>76</v>
      </c>
      <c r="K291" t="n">
        <v>79</v>
      </c>
      <c r="L291">
        <f>K291-J291</f>
        <v/>
      </c>
      <c r="M291" t="n">
        <v>5</v>
      </c>
      <c r="O291" t="n">
        <v>5</v>
      </c>
      <c r="S291" t="n">
        <v>3</v>
      </c>
      <c r="T291" s="3">
        <f>SUM(O291:S291)</f>
        <v/>
      </c>
      <c r="U291" s="3">
        <f>IF(P291&lt;8,"USTED ESTÁ AL DÍA","USTED NO ESTÁ AL DÍA")</f>
        <v/>
      </c>
      <c r="V291" s="3" t="inlineStr">
        <is>
          <t>PAGO PRESENCIAL:  05/06 de 4-6 pm (LOCAL DEL PUEBLO), PAGO YAPE: 948 227 636</t>
        </is>
      </c>
      <c r="W291" t="n">
        <v>0</v>
      </c>
      <c r="X291" t="n">
        <v>25</v>
      </c>
      <c r="Y291">
        <f>T291+W291+X291</f>
        <v/>
      </c>
    </row>
    <row r="292" hidden="1" ht="15.75" customHeight="1" s="4">
      <c r="A292" s="3" t="n">
        <v>17186</v>
      </c>
      <c r="B292" s="3" t="inlineStr">
        <is>
          <t>11/04/2026 al 10/05/2026</t>
        </is>
      </c>
      <c r="C292" s="2" t="n">
        <v>46179</v>
      </c>
      <c r="D292" s="2" t="n">
        <v>46174</v>
      </c>
      <c r="E292" s="2" t="n">
        <v>46122</v>
      </c>
      <c r="F292" s="2" t="n">
        <v>46152</v>
      </c>
      <c r="G292" t="inlineStr">
        <is>
          <t>DOMINGA CHACARA LOPEZ</t>
        </is>
      </c>
      <c r="H292" t="inlineStr">
        <is>
          <t>I</t>
        </is>
      </c>
      <c r="I292" t="inlineStr">
        <is>
          <t>11</t>
        </is>
      </c>
      <c r="J292" t="n">
        <v>35</v>
      </c>
      <c r="K292" t="n">
        <v>45</v>
      </c>
      <c r="L292">
        <f>K292-J292</f>
        <v/>
      </c>
      <c r="M292" t="n">
        <v>10</v>
      </c>
      <c r="N292">
        <f>IF(L292&lt;&gt;M292,1,0)</f>
        <v/>
      </c>
      <c r="O292" t="n">
        <v>10</v>
      </c>
      <c r="R292" t="n">
        <v>25</v>
      </c>
      <c r="S292" t="n">
        <v>3</v>
      </c>
      <c r="T292" s="3">
        <f>SUM(O292:S292)</f>
        <v/>
      </c>
      <c r="U292" s="3">
        <f>IF(P292&lt;8,"USTED ESTÁ AL DÍA","USTED NO ESTÁ AL DÍA")</f>
        <v/>
      </c>
      <c r="V292" s="3" t="inlineStr">
        <is>
          <t>PAGO PRESENCIAL:  05/06 de 4-6 pm (LOCAL DEL PUEBLO), PAGO YAPE: 948 227 636</t>
        </is>
      </c>
      <c r="X292" t="n">
        <v>50</v>
      </c>
      <c r="Y292">
        <f>T292+W292+X292</f>
        <v/>
      </c>
    </row>
    <row r="293" hidden="1" ht="15.75" customHeight="1" s="4">
      <c r="A293" s="3" t="n">
        <v>17187</v>
      </c>
      <c r="B293" s="3" t="inlineStr">
        <is>
          <t>11/04/2026 al 10/05/2026</t>
        </is>
      </c>
      <c r="C293" s="2" t="n">
        <v>46179</v>
      </c>
      <c r="D293" s="2" t="n">
        <v>46174</v>
      </c>
      <c r="E293" s="2" t="n">
        <v>46122</v>
      </c>
      <c r="F293" s="2" t="n">
        <v>46152</v>
      </c>
      <c r="G293" t="inlineStr">
        <is>
          <t>VALENTIN DURAND VALLADARES</t>
        </is>
      </c>
      <c r="H293" t="inlineStr">
        <is>
          <t>I</t>
        </is>
      </c>
      <c r="I293" t="inlineStr">
        <is>
          <t>12</t>
        </is>
      </c>
      <c r="J293" t="n">
        <v>20</v>
      </c>
      <c r="K293" t="n">
        <v>26</v>
      </c>
      <c r="L293">
        <f>K293-J293</f>
        <v/>
      </c>
      <c r="M293" t="n">
        <v>6</v>
      </c>
      <c r="N293">
        <f>IF(L293&lt;&gt;M293,1,0)</f>
        <v/>
      </c>
      <c r="O293" t="n">
        <v>6</v>
      </c>
      <c r="R293" t="n">
        <v>25</v>
      </c>
      <c r="S293" t="n">
        <v>3</v>
      </c>
      <c r="T293" s="3">
        <f>SUM(O293:S293)</f>
        <v/>
      </c>
      <c r="U293" s="3">
        <f>IF(P293&lt;8,"USTED ESTÁ AL DÍA","USTED NO ESTÁ AL DÍA")</f>
        <v/>
      </c>
      <c r="V293" s="3" t="inlineStr">
        <is>
          <t>PAGO PRESENCIAL:  05/06 de 4-6 pm (LOCAL DEL PUEBLO), PAGO YAPE: 948 227 636</t>
        </is>
      </c>
      <c r="X293" t="n">
        <v>50</v>
      </c>
      <c r="Y293">
        <f>T293+W293+X293</f>
        <v/>
      </c>
    </row>
    <row r="294" hidden="1" ht="15.75" customHeight="1" s="4">
      <c r="A294" s="3" t="n">
        <v>17188</v>
      </c>
      <c r="B294" s="3" t="inlineStr">
        <is>
          <t>11/04/2026 al 10/05/2026</t>
        </is>
      </c>
      <c r="C294" s="2" t="n">
        <v>46179</v>
      </c>
      <c r="D294" s="2" t="n">
        <v>46174</v>
      </c>
      <c r="E294" s="2" t="n">
        <v>46122</v>
      </c>
      <c r="F294" s="2" t="n">
        <v>46152</v>
      </c>
      <c r="G294" t="inlineStr">
        <is>
          <t>JULIO SOLORZANO ESTRADA</t>
        </is>
      </c>
      <c r="H294" t="inlineStr">
        <is>
          <t>I</t>
        </is>
      </c>
      <c r="I294" t="inlineStr">
        <is>
          <t>13</t>
        </is>
      </c>
      <c r="J294" t="n">
        <v>35</v>
      </c>
      <c r="K294" t="n">
        <v>53</v>
      </c>
      <c r="L294">
        <f>K294-J294</f>
        <v/>
      </c>
      <c r="M294" t="n">
        <v>18</v>
      </c>
      <c r="N294">
        <f>IF(L294&lt;&gt;M294,1,0)</f>
        <v/>
      </c>
      <c r="O294" t="n">
        <v>18</v>
      </c>
      <c r="S294" t="n">
        <v>3</v>
      </c>
      <c r="T294" s="3">
        <f>SUM(O294:S294)</f>
        <v/>
      </c>
      <c r="U294" s="3">
        <f>IF(P294&lt;8,"USTED ESTÁ AL DÍA","USTED NO ESTÁ AL DÍA")</f>
        <v/>
      </c>
      <c r="V294" s="3" t="inlineStr">
        <is>
          <t>PAGO PRESENCIAL:  05/06 de 4-6 pm (LOCAL DEL PUEBLO), PAGO YAPE: 948 227 636</t>
        </is>
      </c>
      <c r="W294" t="n">
        <v>30</v>
      </c>
      <c r="Y294">
        <f>T294+W294+X294</f>
        <v/>
      </c>
    </row>
    <row r="295" hidden="1" ht="15.75" customHeight="1" s="4">
      <c r="A295" s="3" t="n">
        <v>17189</v>
      </c>
      <c r="B295" s="3" t="inlineStr">
        <is>
          <t>11/04/2026 al 10/05/2026</t>
        </is>
      </c>
      <c r="C295" s="2" t="n">
        <v>46179</v>
      </c>
      <c r="D295" s="2" t="n">
        <v>46174</v>
      </c>
      <c r="E295" s="2" t="n">
        <v>46122</v>
      </c>
      <c r="F295" s="2" t="n">
        <v>46152</v>
      </c>
      <c r="G295" t="inlineStr">
        <is>
          <t>ROBERTO NIETO HUERTA</t>
        </is>
      </c>
      <c r="H295" t="inlineStr">
        <is>
          <t>I</t>
        </is>
      </c>
      <c r="I295" t="inlineStr">
        <is>
          <t>14</t>
        </is>
      </c>
      <c r="J295" t="n">
        <v>14</v>
      </c>
      <c r="K295" t="n">
        <v>21</v>
      </c>
      <c r="L295">
        <f>K295-J295</f>
        <v/>
      </c>
      <c r="M295" t="n">
        <v>7</v>
      </c>
      <c r="N295">
        <f>IF(L295&lt;&gt;M295,1,0)</f>
        <v/>
      </c>
      <c r="O295" t="n">
        <v>7</v>
      </c>
      <c r="R295" t="n">
        <v>25</v>
      </c>
      <c r="S295" t="n">
        <v>3</v>
      </c>
      <c r="T295" s="3">
        <f>SUM(O295:S295)</f>
        <v/>
      </c>
      <c r="U295" s="3">
        <f>IF(P295&lt;8,"USTED ESTÁ AL DÍA","USTED NO ESTÁ AL DÍA")</f>
        <v/>
      </c>
      <c r="V295" s="3" t="inlineStr">
        <is>
          <t>PAGO PRESENCIAL:  05/06 de 4-6 pm (LOCAL DEL PUEBLO), PAGO YAPE: 948 227 636</t>
        </is>
      </c>
      <c r="W295" t="n">
        <v>30</v>
      </c>
      <c r="X295" t="n">
        <v>75</v>
      </c>
      <c r="Y295">
        <f>T295+W295+X295</f>
        <v/>
      </c>
    </row>
    <row r="296" hidden="1" ht="15.75" customHeight="1" s="4">
      <c r="A296" s="3" t="n">
        <v>17190</v>
      </c>
      <c r="B296" s="3" t="inlineStr">
        <is>
          <t>11/04/2026 al 10/05/2026</t>
        </is>
      </c>
      <c r="C296" s="2" t="n">
        <v>46179</v>
      </c>
      <c r="D296" s="2" t="n">
        <v>46174</v>
      </c>
      <c r="E296" s="2" t="n">
        <v>46122</v>
      </c>
      <c r="F296" s="2" t="n">
        <v>46152</v>
      </c>
      <c r="G296" t="inlineStr">
        <is>
          <t>TEREZA ROMERO BAZAN</t>
        </is>
      </c>
      <c r="H296" t="inlineStr">
        <is>
          <t>I</t>
        </is>
      </c>
      <c r="I296" t="inlineStr">
        <is>
          <t>15</t>
        </is>
      </c>
      <c r="J296" t="n">
        <v>40</v>
      </c>
      <c r="K296" t="n">
        <v>58</v>
      </c>
      <c r="L296">
        <f>K296-J296</f>
        <v/>
      </c>
      <c r="M296" t="n">
        <v>18</v>
      </c>
      <c r="N296">
        <f>IF(L296&lt;&gt;M296,1,0)</f>
        <v/>
      </c>
      <c r="O296" t="n">
        <v>18</v>
      </c>
      <c r="R296" t="n">
        <v>25</v>
      </c>
      <c r="S296" t="n">
        <v>3</v>
      </c>
      <c r="T296" s="3">
        <f>SUM(O296:S296)</f>
        <v/>
      </c>
      <c r="U296" s="3">
        <f>IF(P296&lt;8,"USTED ESTÁ AL DÍA","USTED NO ESTÁ AL DÍA")</f>
        <v/>
      </c>
      <c r="V296" s="3" t="inlineStr">
        <is>
          <t>PAGO PRESENCIAL:  05/06 de 4-6 pm (LOCAL DEL PUEBLO), PAGO YAPE: 948 227 636</t>
        </is>
      </c>
      <c r="W296" t="n">
        <v>50</v>
      </c>
      <c r="X296" t="n">
        <v>75</v>
      </c>
      <c r="Y296">
        <f>T296+W296+X296</f>
        <v/>
      </c>
    </row>
    <row r="297" hidden="1" ht="15.75" customHeight="1" s="4">
      <c r="A297" s="3" t="n">
        <v>17191</v>
      </c>
      <c r="B297" s="3" t="inlineStr">
        <is>
          <t>11/04/2026 al 10/05/2026</t>
        </is>
      </c>
      <c r="C297" s="2" t="n">
        <v>46179</v>
      </c>
      <c r="D297" s="2" t="n">
        <v>46174</v>
      </c>
      <c r="E297" s="2" t="n">
        <v>46122</v>
      </c>
      <c r="F297" s="2" t="n">
        <v>46152</v>
      </c>
      <c r="G297" t="inlineStr">
        <is>
          <t>ADOLFO ROSARIO ROJAS</t>
        </is>
      </c>
      <c r="H297" t="inlineStr">
        <is>
          <t>I</t>
        </is>
      </c>
      <c r="I297" t="inlineStr">
        <is>
          <t>16</t>
        </is>
      </c>
      <c r="J297" t="n">
        <v>5</v>
      </c>
      <c r="K297" t="n">
        <v>7</v>
      </c>
      <c r="L297">
        <f>K297-J297</f>
        <v/>
      </c>
      <c r="M297" t="n">
        <v>5</v>
      </c>
      <c r="O297" t="n">
        <v>5</v>
      </c>
      <c r="R297" t="n">
        <v>25</v>
      </c>
      <c r="S297" t="n">
        <v>3</v>
      </c>
      <c r="T297" s="3">
        <f>SUM(O297:S297)</f>
        <v/>
      </c>
      <c r="U297" s="3">
        <f>IF(P297&lt;8,"USTED ESTÁ AL DÍA","USTED NO ESTÁ AL DÍA")</f>
        <v/>
      </c>
      <c r="V297" s="3" t="inlineStr">
        <is>
          <t>PAGO PRESENCIAL:  05/06 de 4-6 pm (LOCAL DEL PUEBLO), PAGO YAPE: 948 227 636</t>
        </is>
      </c>
      <c r="W297" t="n">
        <v>50</v>
      </c>
      <c r="X297" t="n">
        <v>75</v>
      </c>
      <c r="Y297">
        <f>T297+W297+X297</f>
        <v/>
      </c>
    </row>
    <row r="298" hidden="1" ht="15.75" customHeight="1" s="4">
      <c r="A298" s="3" t="n">
        <v>17192</v>
      </c>
      <c r="B298" s="3" t="inlineStr">
        <is>
          <t>11/04/2026 al 10/05/2026</t>
        </is>
      </c>
      <c r="C298" s="2" t="n">
        <v>46179</v>
      </c>
      <c r="D298" s="2" t="n">
        <v>46174</v>
      </c>
      <c r="E298" s="2" t="n">
        <v>46122</v>
      </c>
      <c r="F298" s="2" t="n">
        <v>46152</v>
      </c>
      <c r="G298" t="inlineStr">
        <is>
          <t>JULIA BARRERA GARCILAZO</t>
        </is>
      </c>
      <c r="H298" t="inlineStr">
        <is>
          <t>I</t>
        </is>
      </c>
      <c r="I298" t="inlineStr">
        <is>
          <t>17</t>
        </is>
      </c>
      <c r="J298" t="n">
        <v>19</v>
      </c>
      <c r="K298" t="n">
        <v>26</v>
      </c>
      <c r="L298">
        <f>K298-J298</f>
        <v/>
      </c>
      <c r="M298" t="n">
        <v>7</v>
      </c>
      <c r="N298">
        <f>IF(L298&lt;&gt;M298,1,0)</f>
        <v/>
      </c>
      <c r="O298" t="n">
        <v>7</v>
      </c>
      <c r="R298" t="n">
        <v>25</v>
      </c>
      <c r="S298" t="n">
        <v>3</v>
      </c>
      <c r="T298" s="3">
        <f>SUM(O298:S298)</f>
        <v/>
      </c>
      <c r="U298" s="3">
        <f>IF(P298&lt;8,"USTED ESTÁ AL DÍA","USTED NO ESTÁ AL DÍA")</f>
        <v/>
      </c>
      <c r="V298" s="3" t="inlineStr">
        <is>
          <t>PAGO PRESENCIAL:  05/06 de 4-6 pm (LOCAL DEL PUEBLO), PAGO YAPE: 948 227 636</t>
        </is>
      </c>
      <c r="Y298">
        <f>T298+W298+X298</f>
        <v/>
      </c>
    </row>
    <row r="299" hidden="1" ht="15.75" customHeight="1" s="4">
      <c r="A299" s="3" t="n">
        <v>17193</v>
      </c>
      <c r="B299" s="3" t="inlineStr">
        <is>
          <t>11/04/2026 al 10/05/2026</t>
        </is>
      </c>
      <c r="C299" s="2" t="n">
        <v>46179</v>
      </c>
      <c r="D299" s="2" t="n">
        <v>46174</v>
      </c>
      <c r="E299" s="2" t="n">
        <v>46122</v>
      </c>
      <c r="F299" s="2" t="n">
        <v>46152</v>
      </c>
      <c r="G299" t="inlineStr">
        <is>
          <t>IGLESIA PEREGRINA</t>
        </is>
      </c>
      <c r="H299" t="inlineStr">
        <is>
          <t>I</t>
        </is>
      </c>
      <c r="I299" t="inlineStr">
        <is>
          <t>18</t>
        </is>
      </c>
      <c r="J299" t="n">
        <v>579</v>
      </c>
      <c r="K299" t="n">
        <v>593</v>
      </c>
      <c r="L299">
        <f>K299-J299</f>
        <v/>
      </c>
      <c r="M299" t="n">
        <v>14</v>
      </c>
      <c r="N299">
        <f>IF(L299&lt;&gt;M299,1,0)</f>
        <v/>
      </c>
      <c r="O299" t="n">
        <v>14</v>
      </c>
      <c r="S299" t="n">
        <v>3</v>
      </c>
      <c r="T299" s="3">
        <f>SUM(O299:S299)</f>
        <v/>
      </c>
      <c r="U299" s="3">
        <f>IF(P299&lt;8,"USTED ESTÁ AL DÍA","USTED NO ESTÁ AL DÍA")</f>
        <v/>
      </c>
      <c r="V299" s="3" t="inlineStr">
        <is>
          <t>PAGO PRESENCIAL:  05/06 de 4-6 pm (LOCAL DEL PUEBLO), PAGO YAPE: 948 227 636</t>
        </is>
      </c>
      <c r="W299" t="n">
        <v>30</v>
      </c>
      <c r="Y299">
        <f>T299+W299+X299</f>
        <v/>
      </c>
    </row>
    <row r="300" hidden="1" ht="15.75" customHeight="1" s="4">
      <c r="A300" s="3" t="n">
        <v>17194</v>
      </c>
      <c r="B300" s="3" t="inlineStr">
        <is>
          <t>11/04/2026 al 10/05/2026</t>
        </is>
      </c>
      <c r="C300" s="2" t="n">
        <v>46179</v>
      </c>
      <c r="D300" s="2" t="n">
        <v>46174</v>
      </c>
      <c r="E300" s="2" t="n">
        <v>46122</v>
      </c>
      <c r="F300" s="2" t="n">
        <v>46152</v>
      </c>
      <c r="G300" t="inlineStr">
        <is>
          <t>MARTHA CRIOLLO GASPAR</t>
        </is>
      </c>
      <c r="H300" t="inlineStr">
        <is>
          <t>I</t>
        </is>
      </c>
      <c r="I300" t="inlineStr">
        <is>
          <t>2B</t>
        </is>
      </c>
      <c r="J300" t="n">
        <v>112</v>
      </c>
      <c r="K300" t="n">
        <v>117</v>
      </c>
      <c r="L300">
        <f>K300-J300</f>
        <v/>
      </c>
      <c r="M300" t="n">
        <v>5</v>
      </c>
      <c r="O300" t="n">
        <v>5</v>
      </c>
      <c r="S300" t="n">
        <v>3</v>
      </c>
      <c r="T300" s="3">
        <f>SUM(O300:S300)</f>
        <v/>
      </c>
      <c r="U300" s="3">
        <f>IF(P300&lt;8,"USTED ESTÁ AL DÍA","USTED NO ESTÁ AL DÍA")</f>
        <v/>
      </c>
      <c r="V300" s="3" t="inlineStr">
        <is>
          <t>PAGO PRESENCIAL:  05/06 de 4-6 pm (LOCAL DEL PUEBLO), PAGO YAPE: 948 227 636</t>
        </is>
      </c>
      <c r="Y300">
        <f>T300+W300+X300</f>
        <v/>
      </c>
    </row>
    <row r="301" hidden="1" ht="15.75" customHeight="1" s="4">
      <c r="A301" s="3" t="n">
        <v>17195</v>
      </c>
      <c r="B301" s="3" t="inlineStr">
        <is>
          <t>11/04/2026 al 10/05/2026</t>
        </is>
      </c>
      <c r="C301" s="2" t="n">
        <v>46179</v>
      </c>
      <c r="D301" s="2" t="n">
        <v>46174</v>
      </c>
      <c r="E301" s="2" t="n">
        <v>46122</v>
      </c>
      <c r="F301" s="2" t="n">
        <v>46152</v>
      </c>
      <c r="G301" t="inlineStr">
        <is>
          <t>COMEDOR POPULAR CLUB DE MADRES</t>
        </is>
      </c>
      <c r="H301" t="inlineStr">
        <is>
          <t>J</t>
        </is>
      </c>
      <c r="I301" t="inlineStr">
        <is>
          <t>1</t>
        </is>
      </c>
      <c r="J301" t="n">
        <v>99</v>
      </c>
      <c r="K301" t="n">
        <v>107</v>
      </c>
      <c r="L301">
        <f>K301-J301</f>
        <v/>
      </c>
      <c r="M301" t="n">
        <v>8</v>
      </c>
      <c r="N301">
        <f>IF(L301&lt;&gt;M301,1,0)</f>
        <v/>
      </c>
      <c r="O301" t="n">
        <v>8</v>
      </c>
      <c r="P301" t="n">
        <v>54</v>
      </c>
      <c r="R301" t="n">
        <v>25</v>
      </c>
      <c r="S301" t="n">
        <v>3</v>
      </c>
      <c r="T301" s="3">
        <f>SUM(O301:S301)</f>
        <v/>
      </c>
      <c r="U301" s="3">
        <f>IF(P301&lt;8,"USTED ESTÁ AL DÍA","USTED NO ESTÁ AL DÍA")</f>
        <v/>
      </c>
      <c r="V301" s="3" t="inlineStr">
        <is>
          <t>PAGO PRESENCIAL:  05/06 de 4-6 pm (LOCAL DEL PUEBLO), PAGO YAPE: 948 227 636</t>
        </is>
      </c>
      <c r="W301" t="n">
        <v>20</v>
      </c>
      <c r="X301" t="n">
        <v>75</v>
      </c>
      <c r="Y301">
        <f>T301+W301+X301</f>
        <v/>
      </c>
    </row>
    <row r="302" hidden="1" ht="15.75" customHeight="1" s="4">
      <c r="A302" s="3" t="n">
        <v>17196</v>
      </c>
      <c r="B302" s="3" t="inlineStr">
        <is>
          <t>11/04/2026 al 10/05/2026</t>
        </is>
      </c>
      <c r="C302" s="2" t="n">
        <v>46179</v>
      </c>
      <c r="D302" s="2" t="n">
        <v>46174</v>
      </c>
      <c r="E302" s="2" t="n">
        <v>46122</v>
      </c>
      <c r="F302" s="2" t="n">
        <v>46152</v>
      </c>
      <c r="G302" t="inlineStr">
        <is>
          <t>CAPILLA DEL PUEBLO</t>
        </is>
      </c>
      <c r="H302" t="inlineStr">
        <is>
          <t>J</t>
        </is>
      </c>
      <c r="I302" t="inlineStr">
        <is>
          <t>6</t>
        </is>
      </c>
      <c r="L302">
        <f>K302-J302</f>
        <v/>
      </c>
      <c r="P302" t="n">
        <v>19</v>
      </c>
      <c r="R302" t="n">
        <v>25</v>
      </c>
      <c r="S302" t="n">
        <v>3</v>
      </c>
      <c r="T302" s="3">
        <f>SUM(O302:S302)</f>
        <v/>
      </c>
      <c r="U302" s="3">
        <f>IF(P302&lt;8,"USTED ESTÁ AL DÍA","USTED NO ESTÁ AL DÍA")</f>
        <v/>
      </c>
      <c r="V302" s="3" t="inlineStr">
        <is>
          <t>PAGO PRESENCIAL:  05/06 de 4-6 pm (LOCAL DEL PUEBLO), PAGO YAPE: 948 227 636</t>
        </is>
      </c>
      <c r="W302" t="n">
        <v>50</v>
      </c>
      <c r="X302" t="n">
        <v>75</v>
      </c>
      <c r="Y302">
        <f>T302+W302+X302</f>
        <v/>
      </c>
    </row>
    <row r="303" hidden="1" ht="15.75" customHeight="1" s="4">
      <c r="A303" s="3" t="n">
        <v>17197</v>
      </c>
      <c r="B303" s="3" t="inlineStr">
        <is>
          <t>11/04/2026 al 10/05/2026</t>
        </is>
      </c>
      <c r="C303" s="2" t="n">
        <v>46179</v>
      </c>
      <c r="D303" s="2" t="n">
        <v>46174</v>
      </c>
      <c r="E303" s="2" t="n">
        <v>46122</v>
      </c>
      <c r="F303" s="2" t="n">
        <v>46152</v>
      </c>
      <c r="G303" t="inlineStr">
        <is>
          <t>CENTRO EDUCATIVO 20902</t>
        </is>
      </c>
      <c r="H303" t="inlineStr">
        <is>
          <t>J</t>
        </is>
      </c>
      <c r="I303" t="inlineStr">
        <is>
          <t>14</t>
        </is>
      </c>
      <c r="J303" t="n">
        <v>13818</v>
      </c>
      <c r="K303" t="n">
        <v>13931</v>
      </c>
      <c r="L303">
        <f>K303-J303</f>
        <v/>
      </c>
      <c r="M303" t="n">
        <v>113</v>
      </c>
      <c r="N303">
        <f>IF(L303&lt;&gt;M303,1,0)</f>
        <v/>
      </c>
      <c r="O303" t="n">
        <v>113</v>
      </c>
      <c r="P303" t="n">
        <v>581</v>
      </c>
      <c r="Q303" t="n">
        <v>40</v>
      </c>
      <c r="S303" t="n">
        <v>3</v>
      </c>
      <c r="T303" s="3">
        <f>SUM(O303:S303)</f>
        <v/>
      </c>
      <c r="U303" s="3">
        <f>IF(P303&lt;8,"USTED ESTÁ AL DÍA","USTED NO ESTÁ AL DÍA")</f>
        <v/>
      </c>
      <c r="V303" s="3" t="inlineStr">
        <is>
          <t>PAGO PRESENCIAL:  05/06 de 4-6 pm (LOCAL DEL PUEBLO), PAGO YAPE: 948 227 636</t>
        </is>
      </c>
      <c r="W303" t="n">
        <v>50</v>
      </c>
      <c r="Y303">
        <f>T303+W303+X303</f>
        <v/>
      </c>
    </row>
    <row r="304" hidden="1" ht="15.75" customHeight="1" s="4">
      <c r="A304" s="3" t="n">
        <v>17198</v>
      </c>
      <c r="B304" s="3" t="inlineStr">
        <is>
          <t>11/04/2026 al 10/05/2026</t>
        </is>
      </c>
      <c r="C304" s="2" t="n">
        <v>46179</v>
      </c>
      <c r="D304" s="2" t="n">
        <v>46174</v>
      </c>
      <c r="E304" s="2" t="n">
        <v>46122</v>
      </c>
      <c r="F304" s="2" t="n">
        <v>46152</v>
      </c>
      <c r="G304" t="inlineStr">
        <is>
          <t>HECTOR AGÜERO TRUJILLO</t>
        </is>
      </c>
      <c r="H304" t="inlineStr">
        <is>
          <t>J</t>
        </is>
      </c>
      <c r="I304" t="inlineStr">
        <is>
          <t>2</t>
        </is>
      </c>
      <c r="J304" t="n">
        <v>524</v>
      </c>
      <c r="K304" t="n">
        <v>535</v>
      </c>
      <c r="L304">
        <f>K304-J304</f>
        <v/>
      </c>
      <c r="M304" t="n">
        <v>11</v>
      </c>
      <c r="N304">
        <f>IF(L304&lt;&gt;M304,1,0)</f>
        <v/>
      </c>
      <c r="O304" t="n">
        <v>11</v>
      </c>
      <c r="S304" t="n">
        <v>3</v>
      </c>
      <c r="T304" s="3">
        <f>SUM(O304:S304)</f>
        <v/>
      </c>
      <c r="U304" s="3">
        <f>IF(P304&lt;8,"USTED ESTÁ AL DÍA","USTED NO ESTÁ AL DÍA")</f>
        <v/>
      </c>
      <c r="V304" s="3" t="inlineStr">
        <is>
          <t>PAGO PRESENCIAL:  05/06 de 4-6 pm (LOCAL DEL PUEBLO), PAGO YAPE: 948 227 636</t>
        </is>
      </c>
      <c r="Y304">
        <f>T304+W304+X304</f>
        <v/>
      </c>
    </row>
    <row r="305" hidden="1" ht="15.75" customHeight="1" s="4">
      <c r="A305" s="3" t="n">
        <v>17199</v>
      </c>
      <c r="B305" s="3" t="inlineStr">
        <is>
          <t>11/04/2026 al 10/05/2026</t>
        </is>
      </c>
      <c r="C305" s="2" t="n">
        <v>46179</v>
      </c>
      <c r="D305" s="2" t="n">
        <v>46174</v>
      </c>
      <c r="E305" s="2" t="n">
        <v>46122</v>
      </c>
      <c r="F305" s="2" t="n">
        <v>46152</v>
      </c>
      <c r="G305" t="inlineStr">
        <is>
          <t>VILMA CELESTINO VILLAFANA</t>
        </is>
      </c>
      <c r="H305" t="inlineStr">
        <is>
          <t>J</t>
        </is>
      </c>
      <c r="I305" t="inlineStr">
        <is>
          <t>3</t>
        </is>
      </c>
      <c r="J305" t="n">
        <v>0</v>
      </c>
      <c r="K305" t="n">
        <v>0</v>
      </c>
      <c r="L305">
        <f>K305-J305</f>
        <v/>
      </c>
      <c r="M305" t="n">
        <v>5</v>
      </c>
      <c r="O305" t="n">
        <v>5</v>
      </c>
      <c r="P305" t="n">
        <v>15</v>
      </c>
      <c r="R305" t="n">
        <v>25</v>
      </c>
      <c r="S305" t="n">
        <v>3</v>
      </c>
      <c r="T305" s="3">
        <f>SUM(O305:S305)</f>
        <v/>
      </c>
      <c r="U305" s="3">
        <f>IF(P305&lt;8,"USTED ESTÁ AL DÍA","USTED NO ESTÁ AL DÍA")</f>
        <v/>
      </c>
      <c r="V305" s="3" t="inlineStr">
        <is>
          <t>PAGO PRESENCIAL:  05/06 de 4-6 pm (LOCAL DEL PUEBLO), PAGO YAPE: 948 227 636</t>
        </is>
      </c>
      <c r="Y305">
        <f>T305+W305+X305</f>
        <v/>
      </c>
    </row>
    <row r="306" hidden="1" ht="15.75" customHeight="1" s="4">
      <c r="A306" s="3" t="n">
        <v>17200</v>
      </c>
      <c r="B306" s="3" t="inlineStr">
        <is>
          <t>11/04/2026 al 10/05/2026</t>
        </is>
      </c>
      <c r="C306" s="2" t="n">
        <v>46179</v>
      </c>
      <c r="D306" s="2" t="n">
        <v>46174</v>
      </c>
      <c r="E306" s="2" t="n">
        <v>46122</v>
      </c>
      <c r="F306" s="2" t="n">
        <v>46152</v>
      </c>
      <c r="G306" t="inlineStr">
        <is>
          <t>MARCELO CHINCHAY REGALADO</t>
        </is>
      </c>
      <c r="H306" t="inlineStr">
        <is>
          <t>J</t>
        </is>
      </c>
      <c r="I306" t="inlineStr">
        <is>
          <t>4</t>
        </is>
      </c>
      <c r="J306" t="n">
        <v>19</v>
      </c>
      <c r="K306" t="n">
        <v>28</v>
      </c>
      <c r="L306">
        <f>K306-J306</f>
        <v/>
      </c>
      <c r="M306" t="n">
        <v>9</v>
      </c>
      <c r="N306">
        <f>IF(L306&lt;&gt;M306,1,0)</f>
        <v/>
      </c>
      <c r="O306" t="n">
        <v>9</v>
      </c>
      <c r="R306" t="n">
        <v>25</v>
      </c>
      <c r="S306" t="n">
        <v>3</v>
      </c>
      <c r="T306" s="3">
        <f>SUM(O306:S306)</f>
        <v/>
      </c>
      <c r="U306" s="3">
        <f>IF(P306&lt;8,"USTED ESTÁ AL DÍA","USTED NO ESTÁ AL DÍA")</f>
        <v/>
      </c>
      <c r="V306" s="3" t="inlineStr">
        <is>
          <t>PAGO PRESENCIAL:  05/06 de 4-6 pm (LOCAL DEL PUEBLO), PAGO YAPE: 948 227 636</t>
        </is>
      </c>
      <c r="X306" t="n">
        <v>50</v>
      </c>
      <c r="Y306">
        <f>T306+W306+X306</f>
        <v/>
      </c>
    </row>
    <row r="307" hidden="1" ht="15.75" customHeight="1" s="4">
      <c r="A307" s="3" t="n">
        <v>17201</v>
      </c>
      <c r="B307" s="3" t="inlineStr">
        <is>
          <t>11/04/2026 al 10/05/2026</t>
        </is>
      </c>
      <c r="C307" s="2" t="n">
        <v>46179</v>
      </c>
      <c r="D307" s="2" t="n">
        <v>46174</v>
      </c>
      <c r="E307" s="2" t="n">
        <v>46122</v>
      </c>
      <c r="F307" s="2" t="n">
        <v>46152</v>
      </c>
      <c r="G307" t="inlineStr">
        <is>
          <t>ESPERANZA CHINCHAY COLLAS</t>
        </is>
      </c>
      <c r="H307" t="inlineStr">
        <is>
          <t>J</t>
        </is>
      </c>
      <c r="I307" t="inlineStr">
        <is>
          <t>5</t>
        </is>
      </c>
      <c r="J307" t="n">
        <v>43</v>
      </c>
      <c r="K307" t="n">
        <v>71</v>
      </c>
      <c r="L307">
        <f>K307-J307</f>
        <v/>
      </c>
      <c r="M307" t="n">
        <v>28</v>
      </c>
      <c r="N307">
        <f>IF(L307&lt;&gt;M307,1,0)</f>
        <v/>
      </c>
      <c r="O307" t="n">
        <v>28</v>
      </c>
      <c r="R307" t="n">
        <v>25</v>
      </c>
      <c r="S307" t="n">
        <v>3</v>
      </c>
      <c r="T307" s="3">
        <f>SUM(O307:S307)</f>
        <v/>
      </c>
      <c r="U307" s="3">
        <f>IF(P307&lt;8,"USTED ESTÁ AL DÍA","USTED NO ESTÁ AL DÍA")</f>
        <v/>
      </c>
      <c r="V307" s="3" t="inlineStr">
        <is>
          <t>PAGO PRESENCIAL:  05/06 de 4-6 pm (LOCAL DEL PUEBLO), PAGO YAPE: 948 227 636</t>
        </is>
      </c>
      <c r="W307" t="n">
        <v>30</v>
      </c>
      <c r="Y307">
        <f>T307+W307+X307</f>
        <v/>
      </c>
    </row>
    <row r="308" hidden="1" ht="15.75" customHeight="1" s="4">
      <c r="A308" s="3" t="n">
        <v>17202</v>
      </c>
      <c r="B308" s="3" t="inlineStr">
        <is>
          <t>11/04/2026 al 10/05/2026</t>
        </is>
      </c>
      <c r="C308" s="2" t="n">
        <v>46179</v>
      </c>
      <c r="D308" s="2" t="n">
        <v>46174</v>
      </c>
      <c r="E308" s="2" t="n">
        <v>46122</v>
      </c>
      <c r="F308" s="2" t="n">
        <v>46152</v>
      </c>
      <c r="G308" t="inlineStr">
        <is>
          <t>HAYDEE RIMAC ALBERTO</t>
        </is>
      </c>
      <c r="H308" t="inlineStr">
        <is>
          <t>J</t>
        </is>
      </c>
      <c r="I308" t="inlineStr">
        <is>
          <t>7</t>
        </is>
      </c>
      <c r="J308" t="n">
        <v>52</v>
      </c>
      <c r="K308" t="n">
        <v>63</v>
      </c>
      <c r="L308">
        <f>K308-J308</f>
        <v/>
      </c>
      <c r="M308" t="n">
        <v>11</v>
      </c>
      <c r="N308">
        <f>IF(L308&lt;&gt;M308,1,0)</f>
        <v/>
      </c>
      <c r="O308" t="n">
        <v>11</v>
      </c>
      <c r="R308" t="n">
        <v>25</v>
      </c>
      <c r="S308" t="n">
        <v>3</v>
      </c>
      <c r="T308" s="3">
        <f>SUM(O308:S308)</f>
        <v/>
      </c>
      <c r="U308" s="3">
        <f>IF(P308&lt;8,"USTED ESTÁ AL DÍA","USTED NO ESTÁ AL DÍA")</f>
        <v/>
      </c>
      <c r="V308" s="3" t="inlineStr">
        <is>
          <t>PAGO PRESENCIAL:  05/06 de 4-6 pm (LOCAL DEL PUEBLO), PAGO YAPE: 948 227 636</t>
        </is>
      </c>
      <c r="W308" t="n">
        <v>30</v>
      </c>
      <c r="Y308">
        <f>T308+W308+X308</f>
        <v/>
      </c>
    </row>
    <row r="309" hidden="1" ht="15.75" customHeight="1" s="4">
      <c r="A309" s="3" t="n">
        <v>17203</v>
      </c>
      <c r="B309" s="3" t="inlineStr">
        <is>
          <t>11/04/2026 al 10/05/2026</t>
        </is>
      </c>
      <c r="C309" s="2" t="n">
        <v>46179</v>
      </c>
      <c r="D309" s="2" t="n">
        <v>46174</v>
      </c>
      <c r="E309" s="2" t="n">
        <v>46122</v>
      </c>
      <c r="F309" s="2" t="n">
        <v>46152</v>
      </c>
      <c r="G309" t="inlineStr">
        <is>
          <t>JULIA VICTORIA ROBLES CASTILLO</t>
        </is>
      </c>
      <c r="H309" t="inlineStr">
        <is>
          <t>J</t>
        </is>
      </c>
      <c r="I309" t="inlineStr">
        <is>
          <t>8</t>
        </is>
      </c>
      <c r="J309" t="n">
        <v>37</v>
      </c>
      <c r="K309" t="n">
        <v>48</v>
      </c>
      <c r="L309">
        <f>K309-J309</f>
        <v/>
      </c>
      <c r="M309" t="n">
        <v>11</v>
      </c>
      <c r="N309">
        <f>IF(L309&lt;&gt;M309,1,0)</f>
        <v/>
      </c>
      <c r="O309" t="n">
        <v>11</v>
      </c>
      <c r="R309" t="n">
        <v>25</v>
      </c>
      <c r="S309" t="n">
        <v>3</v>
      </c>
      <c r="T309" s="3">
        <f>SUM(O309:S309)</f>
        <v/>
      </c>
      <c r="U309" s="3">
        <f>IF(P309&lt;8,"USTED ESTÁ AL DÍA","USTED NO ESTÁ AL DÍA")</f>
        <v/>
      </c>
      <c r="V309" s="3" t="inlineStr">
        <is>
          <t>PAGO PRESENCIAL:  05/06 de 4-6 pm (LOCAL DEL PUEBLO), PAGO YAPE: 948 227 636</t>
        </is>
      </c>
      <c r="Y309">
        <f>T309+W309+X309</f>
        <v/>
      </c>
    </row>
    <row r="310" hidden="1" ht="15.75" customHeight="1" s="4">
      <c r="A310" s="3" t="n">
        <v>17204</v>
      </c>
      <c r="B310" s="3" t="inlineStr">
        <is>
          <t>11/04/2026 al 10/05/2026</t>
        </is>
      </c>
      <c r="C310" s="2" t="n">
        <v>46179</v>
      </c>
      <c r="D310" s="2" t="n">
        <v>46174</v>
      </c>
      <c r="E310" s="2" t="n">
        <v>46122</v>
      </c>
      <c r="F310" s="2" t="n">
        <v>46152</v>
      </c>
      <c r="G310" t="inlineStr">
        <is>
          <t>FELICIANA LUISA SANCHEZ RAFAEL</t>
        </is>
      </c>
      <c r="H310" t="inlineStr">
        <is>
          <t>J</t>
        </is>
      </c>
      <c r="I310" t="inlineStr">
        <is>
          <t>9</t>
        </is>
      </c>
      <c r="J310" t="n">
        <v>35</v>
      </c>
      <c r="K310" t="n">
        <v>49</v>
      </c>
      <c r="L310">
        <f>K310-J310</f>
        <v/>
      </c>
      <c r="M310" t="n">
        <v>14</v>
      </c>
      <c r="N310">
        <f>IF(L310&lt;&gt;M310,1,0)</f>
        <v/>
      </c>
      <c r="O310" t="n">
        <v>14</v>
      </c>
      <c r="R310" t="n">
        <v>25</v>
      </c>
      <c r="S310" t="n">
        <v>3</v>
      </c>
      <c r="T310" s="3">
        <f>SUM(O310:S310)</f>
        <v/>
      </c>
      <c r="U310" s="3">
        <f>IF(P310&lt;8,"USTED ESTÁ AL DÍA","USTED NO ESTÁ AL DÍA")</f>
        <v/>
      </c>
      <c r="V310" s="3" t="inlineStr">
        <is>
          <t>PAGO PRESENCIAL:  05/06 de 4-6 pm (LOCAL DEL PUEBLO), PAGO YAPE: 948 227 636</t>
        </is>
      </c>
      <c r="Y310">
        <f>T310+W310+X310</f>
        <v/>
      </c>
    </row>
    <row r="311" hidden="1" ht="15.75" customHeight="1" s="4">
      <c r="A311" s="3" t="n">
        <v>17205</v>
      </c>
      <c r="B311" s="3" t="inlineStr">
        <is>
          <t>11/04/2026 al 10/05/2026</t>
        </is>
      </c>
      <c r="C311" s="2" t="n">
        <v>46179</v>
      </c>
      <c r="D311" s="2" t="n">
        <v>46174</v>
      </c>
      <c r="E311" s="2" t="n">
        <v>46122</v>
      </c>
      <c r="F311" s="2" t="n">
        <v>46152</v>
      </c>
      <c r="G311" t="inlineStr">
        <is>
          <t>SEGUNDO BRONCANO DE PAZ</t>
        </is>
      </c>
      <c r="H311" t="inlineStr">
        <is>
          <t>J</t>
        </is>
      </c>
      <c r="I311" t="inlineStr">
        <is>
          <t>10</t>
        </is>
      </c>
      <c r="J311" t="n">
        <v>168</v>
      </c>
      <c r="K311" t="n">
        <v>172</v>
      </c>
      <c r="L311">
        <f>K311-J311</f>
        <v/>
      </c>
      <c r="M311" t="n">
        <v>5</v>
      </c>
      <c r="O311" t="n">
        <v>5</v>
      </c>
      <c r="S311" t="n">
        <v>3</v>
      </c>
      <c r="T311" s="3">
        <f>SUM(O311:S311)</f>
        <v/>
      </c>
      <c r="U311" s="3">
        <f>IF(P311&lt;8,"USTED ESTÁ AL DÍA","USTED NO ESTÁ AL DÍA")</f>
        <v/>
      </c>
      <c r="V311" s="3" t="inlineStr">
        <is>
          <t>PAGO PRESENCIAL:  05/06 de 4-6 pm (LOCAL DEL PUEBLO), PAGO YAPE: 948 227 636</t>
        </is>
      </c>
      <c r="W311" t="n">
        <v>30</v>
      </c>
      <c r="Y311">
        <f>T311+W311+X311</f>
        <v/>
      </c>
    </row>
    <row r="312" hidden="1" ht="15.75" customHeight="1" s="4">
      <c r="A312" s="3" t="n">
        <v>17206</v>
      </c>
      <c r="B312" s="3" t="inlineStr">
        <is>
          <t>11/04/2026 al 10/05/2026</t>
        </is>
      </c>
      <c r="C312" s="2" t="n">
        <v>46179</v>
      </c>
      <c r="D312" s="2" t="n">
        <v>46174</v>
      </c>
      <c r="E312" s="2" t="n">
        <v>46122</v>
      </c>
      <c r="F312" s="2" t="n">
        <v>46152</v>
      </c>
      <c r="G312" t="inlineStr">
        <is>
          <t>VICTOR BARBOZA AMANTE</t>
        </is>
      </c>
      <c r="H312" t="inlineStr">
        <is>
          <t>J</t>
        </is>
      </c>
      <c r="I312" t="inlineStr">
        <is>
          <t>13</t>
        </is>
      </c>
      <c r="J312" t="n">
        <v>1476</v>
      </c>
      <c r="K312" t="n">
        <v>1487</v>
      </c>
      <c r="L312">
        <f>K312-J312</f>
        <v/>
      </c>
      <c r="M312" t="n">
        <v>11</v>
      </c>
      <c r="N312">
        <f>IF(L312&lt;&gt;M312,1,0)</f>
        <v/>
      </c>
      <c r="O312" t="n">
        <v>11</v>
      </c>
      <c r="S312" t="n">
        <v>3</v>
      </c>
      <c r="T312" s="3">
        <f>SUM(O312:S312)</f>
        <v/>
      </c>
      <c r="U312" s="3">
        <f>IF(P312&lt;8,"USTED ESTÁ AL DÍA","USTED NO ESTÁ AL DÍA")</f>
        <v/>
      </c>
      <c r="V312" s="3" t="inlineStr">
        <is>
          <t>PAGO PRESENCIAL:  05/06 de 4-6 pm (LOCAL DEL PUEBLO), PAGO YAPE: 948 227 636</t>
        </is>
      </c>
      <c r="W312" t="n">
        <v>50</v>
      </c>
      <c r="X312" t="n">
        <v>75</v>
      </c>
      <c r="Y312">
        <f>T312+W312+X312</f>
        <v/>
      </c>
    </row>
    <row r="313" hidden="1" ht="15.75" customHeight="1" s="4">
      <c r="A313" s="3" t="n">
        <v>17207</v>
      </c>
      <c r="B313" s="3" t="inlineStr">
        <is>
          <t>11/04/2026 al 10/05/2026</t>
        </is>
      </c>
      <c r="C313" s="2" t="n">
        <v>46179</v>
      </c>
      <c r="D313" s="2" t="n">
        <v>46174</v>
      </c>
      <c r="E313" s="2" t="n">
        <v>46122</v>
      </c>
      <c r="F313" s="2" t="n">
        <v>46152</v>
      </c>
      <c r="G313" t="inlineStr">
        <is>
          <t>JOSE YOVERA CHERO</t>
        </is>
      </c>
      <c r="H313" t="inlineStr">
        <is>
          <t>J</t>
        </is>
      </c>
      <c r="I313" t="inlineStr">
        <is>
          <t>11</t>
        </is>
      </c>
      <c r="J313" t="n">
        <v>681</v>
      </c>
      <c r="K313" t="n">
        <v>686</v>
      </c>
      <c r="L313">
        <f>K313-J313</f>
        <v/>
      </c>
      <c r="M313" t="n">
        <v>5</v>
      </c>
      <c r="O313" t="n">
        <v>5</v>
      </c>
      <c r="S313" t="n">
        <v>3</v>
      </c>
      <c r="T313" s="3">
        <f>SUM(O313:S313)</f>
        <v/>
      </c>
      <c r="U313" s="3">
        <f>IF(P313&lt;8,"USTED ESTÁ AL DÍA","USTED NO ESTÁ AL DÍA")</f>
        <v/>
      </c>
      <c r="V313" s="3" t="inlineStr">
        <is>
          <t>PAGO PRESENCIAL:  05/06 de 4-6 pm (LOCAL DEL PUEBLO), PAGO YAPE: 948 227 636</t>
        </is>
      </c>
      <c r="W313" t="n">
        <v>50</v>
      </c>
      <c r="X313" t="n">
        <v>75</v>
      </c>
      <c r="Y313">
        <f>T313+W313+X313</f>
        <v/>
      </c>
    </row>
    <row r="314" hidden="1" ht="15.75" customHeight="1" s="4">
      <c r="A314" s="3" t="n">
        <v>17208</v>
      </c>
      <c r="B314" s="3" t="inlineStr">
        <is>
          <t>11/04/2026 al 10/05/2026</t>
        </is>
      </c>
      <c r="C314" s="2" t="n">
        <v>46179</v>
      </c>
      <c r="D314" s="2" t="n">
        <v>46174</v>
      </c>
      <c r="E314" s="2" t="n">
        <v>46122</v>
      </c>
      <c r="F314" s="2" t="n">
        <v>46152</v>
      </c>
      <c r="G314" t="inlineStr">
        <is>
          <t>JORGE BARBOZA AMANTE</t>
        </is>
      </c>
      <c r="H314" t="inlineStr">
        <is>
          <t>J</t>
        </is>
      </c>
      <c r="I314" t="inlineStr">
        <is>
          <t>12</t>
        </is>
      </c>
      <c r="L314">
        <f>K314-J314</f>
        <v/>
      </c>
      <c r="S314" t="n">
        <v>0</v>
      </c>
      <c r="T314" s="3">
        <f>SUM(O314:S314)</f>
        <v/>
      </c>
      <c r="U314" s="3">
        <f>IF(P314&lt;8,"USTED ESTÁ AL DÍA","USTED NO ESTÁ AL DÍA")</f>
        <v/>
      </c>
      <c r="V314" s="3" t="inlineStr">
        <is>
          <t>PAGO PRESENCIAL:  05/06 de 4-6 pm (LOCAL DEL PUEBLO), PAGO YAPE: 948 227 636</t>
        </is>
      </c>
      <c r="W314" t="n">
        <v>50</v>
      </c>
      <c r="X314" t="n">
        <v>75</v>
      </c>
      <c r="Y314">
        <f>T314+W314+X314</f>
        <v/>
      </c>
    </row>
    <row r="315" hidden="1" ht="15.75" customHeight="1" s="4">
      <c r="A315" s="3" t="n">
        <v>17209</v>
      </c>
      <c r="B315" s="3" t="inlineStr">
        <is>
          <t>11/04/2026 al 10/05/2026</t>
        </is>
      </c>
      <c r="C315" s="2" t="n">
        <v>46179</v>
      </c>
      <c r="D315" s="2" t="n">
        <v>46174</v>
      </c>
      <c r="E315" s="2" t="n">
        <v>46122</v>
      </c>
      <c r="F315" s="2" t="n">
        <v>46152</v>
      </c>
      <c r="G315" t="inlineStr">
        <is>
          <t>ANTONIO ESPINOZA SIFUENTES</t>
        </is>
      </c>
      <c r="H315" t="inlineStr">
        <is>
          <t>K</t>
        </is>
      </c>
      <c r="I315" t="inlineStr">
        <is>
          <t>2</t>
        </is>
      </c>
      <c r="J315" t="n">
        <v>16</v>
      </c>
      <c r="K315" t="n">
        <v>29</v>
      </c>
      <c r="L315">
        <f>K315-J315</f>
        <v/>
      </c>
      <c r="M315" t="n">
        <v>13</v>
      </c>
      <c r="N315">
        <f>IF(L315&lt;&gt;M315,1,0)</f>
        <v/>
      </c>
      <c r="O315" t="n">
        <v>13</v>
      </c>
      <c r="P315" t="n">
        <v>12</v>
      </c>
      <c r="R315" t="n">
        <v>25</v>
      </c>
      <c r="S315" t="n">
        <v>3</v>
      </c>
      <c r="T315" s="3">
        <f>SUM(O315:S315)</f>
        <v/>
      </c>
      <c r="U315" s="3">
        <f>IF(P315&lt;8,"USTED ESTÁ AL DÍA","USTED NO ESTÁ AL DÍA")</f>
        <v/>
      </c>
      <c r="V315" s="3" t="inlineStr">
        <is>
          <t>PAGO PRESENCIAL:  05/06 de 4-6 pm (LOCAL DEL PUEBLO), PAGO YAPE: 948 227 636</t>
        </is>
      </c>
      <c r="Y315">
        <f>T315+W315+X315</f>
        <v/>
      </c>
    </row>
    <row r="316" hidden="1" ht="15.75" customHeight="1" s="4">
      <c r="A316" s="3" t="n">
        <v>17210</v>
      </c>
      <c r="B316" s="3" t="inlineStr">
        <is>
          <t>11/04/2026 al 10/05/2026</t>
        </is>
      </c>
      <c r="C316" s="2" t="n">
        <v>46179</v>
      </c>
      <c r="D316" s="2" t="n">
        <v>46174</v>
      </c>
      <c r="E316" s="2" t="n">
        <v>46122</v>
      </c>
      <c r="F316" s="2" t="n">
        <v>46152</v>
      </c>
      <c r="G316" t="inlineStr">
        <is>
          <t>ALEJANDRO LUIS JULCA</t>
        </is>
      </c>
      <c r="H316" t="inlineStr">
        <is>
          <t>K</t>
        </is>
      </c>
      <c r="I316" t="inlineStr">
        <is>
          <t>12</t>
        </is>
      </c>
      <c r="J316" t="n">
        <v>924</v>
      </c>
      <c r="K316" t="n">
        <v>1005</v>
      </c>
      <c r="L316">
        <f>K316-J316</f>
        <v/>
      </c>
      <c r="M316" t="n">
        <v>81</v>
      </c>
      <c r="N316">
        <f>IF(L316&lt;&gt;M316,1,0)</f>
        <v/>
      </c>
      <c r="O316" t="n">
        <v>81</v>
      </c>
      <c r="P316" t="n">
        <v>93</v>
      </c>
      <c r="S316" t="n">
        <v>3</v>
      </c>
      <c r="T316" s="3">
        <f>SUM(O316:S316)</f>
        <v/>
      </c>
      <c r="U316" s="3">
        <f>IF(P316&lt;8,"USTED ESTÁ AL DÍA","USTED NO ESTÁ AL DÍA")</f>
        <v/>
      </c>
      <c r="V316" s="3" t="inlineStr">
        <is>
          <t>PAGO PRESENCIAL:  05/06 de 4-6 pm (LOCAL DEL PUEBLO), PAGO YAPE: 948 227 636</t>
        </is>
      </c>
      <c r="W316" t="n">
        <v>30</v>
      </c>
      <c r="X316" t="n">
        <v>30</v>
      </c>
      <c r="Y316">
        <f>T316+W316+X316</f>
        <v/>
      </c>
    </row>
    <row r="317" hidden="1" ht="15.75" customHeight="1" s="4">
      <c r="A317" s="3" t="n">
        <v>17211</v>
      </c>
      <c r="B317" s="3" t="inlineStr">
        <is>
          <t>11/04/2026 al 10/05/2026</t>
        </is>
      </c>
      <c r="C317" s="2" t="n">
        <v>46179</v>
      </c>
      <c r="D317" s="2" t="n">
        <v>46174</v>
      </c>
      <c r="E317" s="2" t="n">
        <v>46122</v>
      </c>
      <c r="F317" s="2" t="n">
        <v>46152</v>
      </c>
      <c r="G317" t="inlineStr">
        <is>
          <t>PRUDENCIO VALLADARES TRUJILLO</t>
        </is>
      </c>
      <c r="H317" t="inlineStr">
        <is>
          <t>K</t>
        </is>
      </c>
      <c r="I317" t="inlineStr">
        <is>
          <t>1</t>
        </is>
      </c>
      <c r="J317" t="n">
        <v>26</v>
      </c>
      <c r="K317" t="n">
        <v>44</v>
      </c>
      <c r="L317">
        <f>K317-J317</f>
        <v/>
      </c>
      <c r="M317" t="n">
        <v>18</v>
      </c>
      <c r="N317">
        <f>IF(L317&lt;&gt;M317,1,0)</f>
        <v/>
      </c>
      <c r="O317" t="n">
        <v>18</v>
      </c>
      <c r="R317" t="n">
        <v>25</v>
      </c>
      <c r="S317" t="n">
        <v>3</v>
      </c>
      <c r="T317" s="3">
        <f>SUM(O317:S317)</f>
        <v/>
      </c>
      <c r="U317" s="3">
        <f>IF(P317&lt;8,"USTED ESTÁ AL DÍA","USTED NO ESTÁ AL DÍA")</f>
        <v/>
      </c>
      <c r="V317" s="3" t="inlineStr">
        <is>
          <t>PAGO PRESENCIAL:  05/06 de 4-6 pm (LOCAL DEL PUEBLO), PAGO YAPE: 948 227 636</t>
        </is>
      </c>
      <c r="Y317">
        <f>T317+W317+X317</f>
        <v/>
      </c>
    </row>
    <row r="318" hidden="1" ht="15.75" customHeight="1" s="4">
      <c r="A318" s="3" t="n">
        <v>17212</v>
      </c>
      <c r="B318" s="3" t="inlineStr">
        <is>
          <t>11/04/2026 al 10/05/2026</t>
        </is>
      </c>
      <c r="C318" s="2" t="n">
        <v>46179</v>
      </c>
      <c r="D318" s="2" t="n">
        <v>46174</v>
      </c>
      <c r="E318" s="2" t="n">
        <v>46122</v>
      </c>
      <c r="F318" s="2" t="n">
        <v>46152</v>
      </c>
      <c r="G318" t="inlineStr">
        <is>
          <t>YULY LISBETH TRUJILLO CRUZ</t>
        </is>
      </c>
      <c r="H318" t="inlineStr">
        <is>
          <t>K</t>
        </is>
      </c>
      <c r="I318" t="inlineStr">
        <is>
          <t>3</t>
        </is>
      </c>
      <c r="J318" t="n">
        <v>125</v>
      </c>
      <c r="K318" t="n">
        <v>127</v>
      </c>
      <c r="L318">
        <f>K318-J318</f>
        <v/>
      </c>
      <c r="M318" t="n">
        <v>5</v>
      </c>
      <c r="O318" t="n">
        <v>5</v>
      </c>
      <c r="S318" t="n">
        <v>3</v>
      </c>
      <c r="T318" s="3">
        <f>SUM(O318:S318)</f>
        <v/>
      </c>
      <c r="U318" s="3">
        <f>IF(P318&lt;8,"USTED ESTÁ AL DÍA","USTED NO ESTÁ AL DÍA")</f>
        <v/>
      </c>
      <c r="V318" s="3" t="inlineStr">
        <is>
          <t>PAGO PRESENCIAL:  05/06 de 4-6 pm (LOCAL DEL PUEBLO), PAGO YAPE: 948 227 636</t>
        </is>
      </c>
      <c r="W318" t="n">
        <v>30</v>
      </c>
      <c r="Y318">
        <f>T318+W318+X318</f>
        <v/>
      </c>
    </row>
    <row r="319" hidden="1" ht="15.75" customHeight="1" s="4">
      <c r="A319" s="3" t="n">
        <v>17213</v>
      </c>
      <c r="B319" s="3" t="inlineStr">
        <is>
          <t>11/04/2026 al 10/05/2026</t>
        </is>
      </c>
      <c r="C319" s="2" t="n">
        <v>46179</v>
      </c>
      <c r="D319" s="2" t="n">
        <v>46174</v>
      </c>
      <c r="E319" s="2" t="n">
        <v>46122</v>
      </c>
      <c r="F319" s="2" t="n">
        <v>46152</v>
      </c>
      <c r="G319" t="inlineStr">
        <is>
          <t>EMILIA CRUZ OLORTEGUI</t>
        </is>
      </c>
      <c r="H319" t="inlineStr">
        <is>
          <t>K</t>
        </is>
      </c>
      <c r="I319" t="inlineStr">
        <is>
          <t>4</t>
        </is>
      </c>
      <c r="J319" t="n">
        <v>59</v>
      </c>
      <c r="K319" t="n">
        <v>84</v>
      </c>
      <c r="L319">
        <f>K319-J319</f>
        <v/>
      </c>
      <c r="M319" t="n">
        <v>25</v>
      </c>
      <c r="N319">
        <f>IF(L319&lt;&gt;M319,1,0)</f>
        <v/>
      </c>
      <c r="O319" t="n">
        <v>25</v>
      </c>
      <c r="R319" t="n">
        <v>25</v>
      </c>
      <c r="S319" t="n">
        <v>3</v>
      </c>
      <c r="T319" s="3">
        <f>SUM(O319:S319)</f>
        <v/>
      </c>
      <c r="U319" s="3">
        <f>IF(P319&lt;8,"USTED ESTÁ AL DÍA","USTED NO ESTÁ AL DÍA")</f>
        <v/>
      </c>
      <c r="V319" s="3" t="inlineStr">
        <is>
          <t>PAGO PRESENCIAL:  05/06 de 4-6 pm (LOCAL DEL PUEBLO), PAGO YAPE: 948 227 636</t>
        </is>
      </c>
      <c r="W319" t="n">
        <v>30</v>
      </c>
      <c r="Y319">
        <f>T319+W319+X319</f>
        <v/>
      </c>
    </row>
    <row r="320" hidden="1" ht="15.75" customHeight="1" s="4">
      <c r="A320" s="3" t="n">
        <v>17214</v>
      </c>
      <c r="B320" s="3" t="inlineStr">
        <is>
          <t>11/04/2026 al 10/05/2026</t>
        </is>
      </c>
      <c r="C320" s="2" t="n">
        <v>46179</v>
      </c>
      <c r="D320" s="2" t="n">
        <v>46174</v>
      </c>
      <c r="E320" s="2" t="n">
        <v>46122</v>
      </c>
      <c r="F320" s="2" t="n">
        <v>46152</v>
      </c>
      <c r="G320" t="inlineStr">
        <is>
          <t>VICTOR JOSE ORTEGA DE LA CRUZ</t>
        </is>
      </c>
      <c r="H320" t="inlineStr">
        <is>
          <t>K</t>
        </is>
      </c>
      <c r="I320" t="inlineStr">
        <is>
          <t>6</t>
        </is>
      </c>
      <c r="J320" t="n">
        <v>94</v>
      </c>
      <c r="K320" t="n">
        <v>138</v>
      </c>
      <c r="L320">
        <f>K320-J320</f>
        <v/>
      </c>
      <c r="M320" t="n">
        <v>44</v>
      </c>
      <c r="N320">
        <f>IF(L320&lt;&gt;M320,1,0)</f>
        <v/>
      </c>
      <c r="O320" t="n">
        <v>44</v>
      </c>
      <c r="R320" t="n">
        <v>25</v>
      </c>
      <c r="S320" t="n">
        <v>3</v>
      </c>
      <c r="T320" s="3">
        <f>SUM(O320:S320)</f>
        <v/>
      </c>
      <c r="U320" s="3">
        <f>IF(P320&lt;8,"USTED ESTÁ AL DÍA","USTED NO ESTÁ AL DÍA")</f>
        <v/>
      </c>
      <c r="V320" s="3" t="inlineStr">
        <is>
          <t>PAGO PRESENCIAL:  05/06 de 4-6 pm (LOCAL DEL PUEBLO), PAGO YAPE: 948 227 636</t>
        </is>
      </c>
      <c r="Y320">
        <f>T320+W320+X320</f>
        <v/>
      </c>
    </row>
    <row r="321" hidden="1" ht="15.75" customHeight="1" s="4">
      <c r="A321" s="3" t="n">
        <v>17215</v>
      </c>
      <c r="B321" s="3" t="inlineStr">
        <is>
          <t>11/04/2026 al 10/05/2026</t>
        </is>
      </c>
      <c r="C321" s="2" t="n">
        <v>46179</v>
      </c>
      <c r="D321" s="2" t="n">
        <v>46174</v>
      </c>
      <c r="E321" s="2" t="n">
        <v>46122</v>
      </c>
      <c r="F321" s="2" t="n">
        <v>46152</v>
      </c>
      <c r="G321" t="inlineStr">
        <is>
          <t>NIEVES CUZCO VALLE DE LEON</t>
        </is>
      </c>
      <c r="H321" t="inlineStr">
        <is>
          <t>K</t>
        </is>
      </c>
      <c r="I321" t="inlineStr">
        <is>
          <t>7</t>
        </is>
      </c>
      <c r="J321" t="n">
        <v>242</v>
      </c>
      <c r="K321" t="n">
        <v>258</v>
      </c>
      <c r="L321">
        <f>K321-J321</f>
        <v/>
      </c>
      <c r="M321" t="n">
        <v>16</v>
      </c>
      <c r="N321">
        <f>IF(L321&lt;&gt;M321,1,0)</f>
        <v/>
      </c>
      <c r="O321" t="n">
        <v>16</v>
      </c>
      <c r="S321" t="n">
        <v>3</v>
      </c>
      <c r="T321" s="3">
        <f>SUM(O321:S321)</f>
        <v/>
      </c>
      <c r="U321" s="3">
        <f>IF(P321&lt;8,"USTED ESTÁ AL DÍA","USTED NO ESTÁ AL DÍA")</f>
        <v/>
      </c>
      <c r="V321" s="3" t="inlineStr">
        <is>
          <t>PAGO PRESENCIAL:  05/06 de 4-6 pm (LOCAL DEL PUEBLO), PAGO YAPE: 948 227 636</t>
        </is>
      </c>
      <c r="W321" t="n">
        <v>30</v>
      </c>
      <c r="Y321">
        <f>T321+W321+X321</f>
        <v/>
      </c>
    </row>
    <row r="322" hidden="1" ht="15.75" customHeight="1" s="4">
      <c r="A322" s="3" t="n">
        <v>17216</v>
      </c>
      <c r="B322" s="3" t="inlineStr">
        <is>
          <t>11/04/2026 al 10/05/2026</t>
        </is>
      </c>
      <c r="C322" s="2" t="n">
        <v>46179</v>
      </c>
      <c r="D322" s="2" t="n">
        <v>46174</v>
      </c>
      <c r="E322" s="2" t="n">
        <v>46122</v>
      </c>
      <c r="F322" s="2" t="n">
        <v>46152</v>
      </c>
      <c r="G322" t="inlineStr">
        <is>
          <t>VICTOR TEODORO FLORES DURAND</t>
        </is>
      </c>
      <c r="H322" t="inlineStr">
        <is>
          <t>K</t>
        </is>
      </c>
      <c r="I322" t="inlineStr">
        <is>
          <t>8</t>
        </is>
      </c>
      <c r="J322" t="n">
        <v>0</v>
      </c>
      <c r="K322" t="n">
        <v>8</v>
      </c>
      <c r="L322">
        <f>K322-J322</f>
        <v/>
      </c>
      <c r="M322" t="n">
        <v>8</v>
      </c>
      <c r="N322">
        <f>IF(L322&lt;&gt;M322,1,0)</f>
        <v/>
      </c>
      <c r="O322" t="n">
        <v>8</v>
      </c>
      <c r="S322" t="n">
        <v>3</v>
      </c>
      <c r="T322" s="3">
        <f>SUM(O322:S322)</f>
        <v/>
      </c>
      <c r="U322" s="3">
        <f>IF(P322&lt;8,"USTED ESTÁ AL DÍA","USTED NO ESTÁ AL DÍA")</f>
        <v/>
      </c>
      <c r="V322" s="3" t="inlineStr">
        <is>
          <t>PAGO PRESENCIAL:  05/06 de 4-6 pm (LOCAL DEL PUEBLO), PAGO YAPE: 948 227 636</t>
        </is>
      </c>
      <c r="W322" t="n">
        <v>30</v>
      </c>
      <c r="X322" t="n">
        <v>50</v>
      </c>
      <c r="Y322">
        <f>T322+W322+X322</f>
        <v/>
      </c>
    </row>
    <row r="323" hidden="1" ht="15.75" customHeight="1" s="4">
      <c r="A323" s="3" t="n">
        <v>17217</v>
      </c>
      <c r="B323" s="3" t="inlineStr">
        <is>
          <t>11/04/2026 al 10/05/2026</t>
        </is>
      </c>
      <c r="C323" s="2" t="n">
        <v>46179</v>
      </c>
      <c r="D323" s="2" t="n">
        <v>46174</v>
      </c>
      <c r="E323" s="2" t="n">
        <v>46122</v>
      </c>
      <c r="F323" s="2" t="n">
        <v>46152</v>
      </c>
      <c r="G323" t="inlineStr">
        <is>
          <t>FORTUNATO VARGAS CABELLO</t>
        </is>
      </c>
      <c r="H323" t="inlineStr">
        <is>
          <t>K</t>
        </is>
      </c>
      <c r="I323" t="inlineStr">
        <is>
          <t>9</t>
        </is>
      </c>
      <c r="J323" t="n">
        <v>4</v>
      </c>
      <c r="K323" t="n">
        <v>8</v>
      </c>
      <c r="L323">
        <f>K323-J323</f>
        <v/>
      </c>
      <c r="M323" t="n">
        <v>5</v>
      </c>
      <c r="O323" t="n">
        <v>5</v>
      </c>
      <c r="R323" t="n">
        <v>25</v>
      </c>
      <c r="S323" t="n">
        <v>3</v>
      </c>
      <c r="T323" s="3">
        <f>SUM(O323:S323)</f>
        <v/>
      </c>
      <c r="U323" s="3">
        <f>IF(P323&lt;8,"USTED ESTÁ AL DÍA","USTED NO ESTÁ AL DÍA")</f>
        <v/>
      </c>
      <c r="V323" s="3" t="inlineStr">
        <is>
          <t>PAGO PRESENCIAL:  05/06 de 4-6 pm (LOCAL DEL PUEBLO), PAGO YAPE: 948 227 636</t>
        </is>
      </c>
      <c r="W323" t="n">
        <v>30</v>
      </c>
      <c r="Y323">
        <f>T323+W323+X323</f>
        <v/>
      </c>
    </row>
    <row r="324" hidden="1" ht="15.75" customHeight="1" s="4">
      <c r="A324" s="3" t="n">
        <v>17218</v>
      </c>
      <c r="B324" s="3" t="inlineStr">
        <is>
          <t>11/04/2026 al 10/05/2026</t>
        </is>
      </c>
      <c r="C324" s="2" t="n">
        <v>46179</v>
      </c>
      <c r="D324" s="2" t="n">
        <v>46174</v>
      </c>
      <c r="E324" s="2" t="n">
        <v>46122</v>
      </c>
      <c r="F324" s="2" t="n">
        <v>46152</v>
      </c>
      <c r="G324" t="inlineStr">
        <is>
          <t>MARINO FEDERICO JAIMES VIDAL</t>
        </is>
      </c>
      <c r="H324" t="inlineStr">
        <is>
          <t>K</t>
        </is>
      </c>
      <c r="I324" t="inlineStr">
        <is>
          <t>10</t>
        </is>
      </c>
      <c r="J324" t="n">
        <v>89</v>
      </c>
      <c r="K324" t="n">
        <v>94</v>
      </c>
      <c r="L324">
        <f>K324-J324</f>
        <v/>
      </c>
      <c r="M324" t="n">
        <v>5</v>
      </c>
      <c r="O324" t="n">
        <v>5</v>
      </c>
      <c r="S324" t="n">
        <v>3</v>
      </c>
      <c r="T324" s="3">
        <f>SUM(O324:S324)</f>
        <v/>
      </c>
      <c r="U324" s="3">
        <f>IF(P324&lt;8,"USTED ESTÁ AL DÍA","USTED NO ESTÁ AL DÍA")</f>
        <v/>
      </c>
      <c r="V324" s="3" t="inlineStr">
        <is>
          <t>PAGO PRESENCIAL:  05/06 de 4-6 pm (LOCAL DEL PUEBLO), PAGO YAPE: 948 227 636</t>
        </is>
      </c>
      <c r="Y324">
        <f>T324+W324+X324</f>
        <v/>
      </c>
    </row>
    <row r="325" hidden="1" ht="15.75" customHeight="1" s="4">
      <c r="A325" s="3" t="n">
        <v>17219</v>
      </c>
      <c r="B325" s="3" t="inlineStr">
        <is>
          <t>11/04/2026 al 10/05/2026</t>
        </is>
      </c>
      <c r="C325" s="2" t="n">
        <v>46179</v>
      </c>
      <c r="D325" s="2" t="n">
        <v>46174</v>
      </c>
      <c r="E325" s="2" t="n">
        <v>46122</v>
      </c>
      <c r="F325" s="2" t="n">
        <v>46152</v>
      </c>
      <c r="G325" t="inlineStr">
        <is>
          <t>MARTINA MORALES RIOS</t>
        </is>
      </c>
      <c r="H325" t="inlineStr">
        <is>
          <t>K</t>
        </is>
      </c>
      <c r="I325" t="inlineStr">
        <is>
          <t>11</t>
        </is>
      </c>
      <c r="J325" t="n">
        <v>1069</v>
      </c>
      <c r="K325" t="n">
        <v>1086</v>
      </c>
      <c r="L325">
        <f>K325-J325</f>
        <v/>
      </c>
      <c r="M325" t="n">
        <v>17</v>
      </c>
      <c r="N325">
        <f>IF(L325&lt;&gt;M325,1,0)</f>
        <v/>
      </c>
      <c r="O325" t="n">
        <v>17</v>
      </c>
      <c r="S325" t="n">
        <v>3</v>
      </c>
      <c r="T325" s="3">
        <f>SUM(O325:S325)</f>
        <v/>
      </c>
      <c r="U325" s="3">
        <f>IF(P325&lt;8,"USTED ESTÁ AL DÍA","USTED NO ESTÁ AL DÍA")</f>
        <v/>
      </c>
      <c r="V325" s="3" t="inlineStr">
        <is>
          <t>PAGO PRESENCIAL:  05/06 de 4-6 pm (LOCAL DEL PUEBLO), PAGO YAPE: 948 227 636</t>
        </is>
      </c>
      <c r="Y325">
        <f>T325+W325+X325</f>
        <v/>
      </c>
    </row>
    <row r="326" hidden="1" ht="15.75" customHeight="1" s="4">
      <c r="A326" s="3" t="n">
        <v>17220</v>
      </c>
      <c r="B326" s="3" t="inlineStr">
        <is>
          <t>11/04/2026 al 10/05/2026</t>
        </is>
      </c>
      <c r="C326" s="2" t="n">
        <v>46179</v>
      </c>
      <c r="D326" s="2" t="n">
        <v>46174</v>
      </c>
      <c r="E326" s="2" t="n">
        <v>46122</v>
      </c>
      <c r="F326" s="2" t="n">
        <v>46152</v>
      </c>
      <c r="G326" t="inlineStr">
        <is>
          <t>RUBEN LUIS GARCILAZO</t>
        </is>
      </c>
      <c r="H326" t="inlineStr">
        <is>
          <t>K</t>
        </is>
      </c>
      <c r="I326" t="inlineStr">
        <is>
          <t>13</t>
        </is>
      </c>
      <c r="J326" t="n">
        <v>1320</v>
      </c>
      <c r="K326" t="n">
        <v>1326</v>
      </c>
      <c r="L326">
        <f>K326-J326</f>
        <v/>
      </c>
      <c r="M326" t="n">
        <v>6</v>
      </c>
      <c r="N326">
        <f>IF(L326&lt;&gt;M326,1,0)</f>
        <v/>
      </c>
      <c r="O326" t="n">
        <v>6</v>
      </c>
      <c r="S326" t="n">
        <v>3</v>
      </c>
      <c r="T326" s="3">
        <f>SUM(O326:S326)</f>
        <v/>
      </c>
      <c r="U326" s="3">
        <f>IF(P326&lt;8,"USTED ESTÁ AL DÍA","USTED NO ESTÁ AL DÍA")</f>
        <v/>
      </c>
      <c r="V326" s="3" t="inlineStr">
        <is>
          <t>PAGO PRESENCIAL:  05/06 de 4-6 pm (LOCAL DEL PUEBLO), PAGO YAPE: 948 227 636</t>
        </is>
      </c>
      <c r="W326" t="n">
        <v>0</v>
      </c>
      <c r="X326" t="n">
        <v>50</v>
      </c>
      <c r="Y326">
        <f>T326+W326+X326</f>
        <v/>
      </c>
    </row>
    <row r="327" hidden="1" ht="15.75" customHeight="1" s="4">
      <c r="A327" s="3" t="n">
        <v>17221</v>
      </c>
      <c r="B327" s="3" t="inlineStr">
        <is>
          <t>11/04/2026 al 10/05/2026</t>
        </is>
      </c>
      <c r="C327" s="2" t="n">
        <v>46179</v>
      </c>
      <c r="D327" s="2" t="n">
        <v>46174</v>
      </c>
      <c r="E327" s="2" t="n">
        <v>46122</v>
      </c>
      <c r="F327" s="2" t="n">
        <v>46152</v>
      </c>
      <c r="G327" t="inlineStr">
        <is>
          <t>SAMUEL LLAMA LUNA</t>
        </is>
      </c>
      <c r="H327" t="inlineStr">
        <is>
          <t>K</t>
        </is>
      </c>
      <c r="I327" t="inlineStr">
        <is>
          <t>14</t>
        </is>
      </c>
      <c r="J327" t="n">
        <v>312</v>
      </c>
      <c r="K327" t="n">
        <v>325</v>
      </c>
      <c r="L327">
        <f>K327-J327</f>
        <v/>
      </c>
      <c r="M327" t="n">
        <v>13</v>
      </c>
      <c r="N327">
        <f>IF(L327&lt;&gt;M327,1,0)</f>
        <v/>
      </c>
      <c r="O327" t="n">
        <v>13</v>
      </c>
      <c r="S327" t="n">
        <v>3</v>
      </c>
      <c r="T327" s="3">
        <f>SUM(O327:S327)</f>
        <v/>
      </c>
      <c r="U327" s="3">
        <f>IF(P327&lt;8,"USTED ESTÁ AL DÍA","USTED NO ESTÁ AL DÍA")</f>
        <v/>
      </c>
      <c r="V327" s="3" t="inlineStr">
        <is>
          <t>PAGO PRESENCIAL:  05/06 de 4-6 pm (LOCAL DEL PUEBLO), PAGO YAPE: 948 227 636</t>
        </is>
      </c>
      <c r="Y327">
        <f>T327+W327+X327</f>
        <v/>
      </c>
    </row>
    <row r="328" hidden="1" ht="15.75" customHeight="1" s="4">
      <c r="A328" s="3" t="n">
        <v>17222</v>
      </c>
      <c r="B328" s="3" t="inlineStr">
        <is>
          <t>11/04/2026 al 10/05/2026</t>
        </is>
      </c>
      <c r="C328" s="2" t="n">
        <v>46179</v>
      </c>
      <c r="D328" s="2" t="n">
        <v>46174</v>
      </c>
      <c r="E328" s="2" t="n">
        <v>46122</v>
      </c>
      <c r="F328" s="2" t="n">
        <v>46152</v>
      </c>
      <c r="G328" t="inlineStr">
        <is>
          <t>FABIAN MONTALVO JULCA</t>
        </is>
      </c>
      <c r="H328" t="inlineStr">
        <is>
          <t>K</t>
        </is>
      </c>
      <c r="I328" t="inlineStr">
        <is>
          <t>15</t>
        </is>
      </c>
      <c r="J328" t="n">
        <v>502</v>
      </c>
      <c r="K328" t="n">
        <v>542</v>
      </c>
      <c r="L328">
        <f>K328-J328</f>
        <v/>
      </c>
      <c r="M328" t="n">
        <v>40</v>
      </c>
      <c r="N328">
        <f>IF(L328&lt;&gt;M328,1,0)</f>
        <v/>
      </c>
      <c r="O328" t="n">
        <v>40</v>
      </c>
      <c r="P328" t="n">
        <v>2</v>
      </c>
      <c r="S328" t="n">
        <v>3</v>
      </c>
      <c r="T328" s="3">
        <f>SUM(O328:S328)</f>
        <v/>
      </c>
      <c r="U328" s="3">
        <f>IF(P328&lt;8,"USTED ESTÁ AL DÍA","USTED NO ESTÁ AL DÍA")</f>
        <v/>
      </c>
      <c r="V328" s="3" t="inlineStr">
        <is>
          <t>PAGO PRESENCIAL:  05/06 de 4-6 pm (LOCAL DEL PUEBLO), PAGO YAPE: 948 227 636</t>
        </is>
      </c>
      <c r="W328" t="n">
        <v>30</v>
      </c>
      <c r="X328" t="n">
        <v>75</v>
      </c>
      <c r="Y328">
        <f>T328+W328+X328</f>
        <v/>
      </c>
    </row>
    <row r="329" hidden="1" ht="15.75" customHeight="1" s="4">
      <c r="A329" s="3" t="n">
        <v>17223</v>
      </c>
      <c r="B329" s="3" t="inlineStr">
        <is>
          <t>11/04/2026 al 10/05/2026</t>
        </is>
      </c>
      <c r="C329" s="2" t="n">
        <v>46179</v>
      </c>
      <c r="D329" s="2" t="n">
        <v>46174</v>
      </c>
      <c r="E329" s="2" t="n">
        <v>46122</v>
      </c>
      <c r="F329" s="2" t="n">
        <v>46152</v>
      </c>
      <c r="G329" t="inlineStr">
        <is>
          <t>MARCIAL SANCHEZ ARAOZ</t>
        </is>
      </c>
      <c r="H329" t="inlineStr">
        <is>
          <t>K</t>
        </is>
      </c>
      <c r="I329" t="inlineStr">
        <is>
          <t>17</t>
        </is>
      </c>
      <c r="J329" t="n">
        <v>41</v>
      </c>
      <c r="K329" t="n">
        <v>54</v>
      </c>
      <c r="L329">
        <f>K329-J329</f>
        <v/>
      </c>
      <c r="M329" t="n">
        <v>13</v>
      </c>
      <c r="N329">
        <f>IF(L329&lt;&gt;M329,1,0)</f>
        <v/>
      </c>
      <c r="O329" t="n">
        <v>13</v>
      </c>
      <c r="R329" t="n">
        <v>25</v>
      </c>
      <c r="S329" t="n">
        <v>3</v>
      </c>
      <c r="T329" s="3">
        <f>SUM(O329:S329)</f>
        <v/>
      </c>
      <c r="U329" s="3">
        <f>IF(P329&lt;8,"USTED ESTÁ AL DÍA","USTED NO ESTÁ AL DÍA")</f>
        <v/>
      </c>
      <c r="V329" s="3" t="inlineStr">
        <is>
          <t>PAGO PRESENCIAL:  05/06 de 4-6 pm (LOCAL DEL PUEBLO), PAGO YAPE: 948 227 636</t>
        </is>
      </c>
      <c r="Y329">
        <f>T329+W329+X329</f>
        <v/>
      </c>
    </row>
    <row r="330" hidden="1" ht="15.75" customHeight="1" s="4">
      <c r="A330" s="3" t="n">
        <v>17224</v>
      </c>
      <c r="B330" s="3" t="inlineStr">
        <is>
          <t>11/04/2026 al 10/05/2026</t>
        </is>
      </c>
      <c r="C330" s="2" t="n">
        <v>46179</v>
      </c>
      <c r="D330" s="2" t="n">
        <v>46174</v>
      </c>
      <c r="E330" s="2" t="n">
        <v>46122</v>
      </c>
      <c r="F330" s="2" t="n">
        <v>46152</v>
      </c>
      <c r="G330" t="inlineStr">
        <is>
          <t>SOSIMO ROJAS TRUJILLO</t>
        </is>
      </c>
      <c r="H330" t="inlineStr">
        <is>
          <t>K</t>
        </is>
      </c>
      <c r="I330" t="inlineStr">
        <is>
          <t>5</t>
        </is>
      </c>
      <c r="L330">
        <f>K330-J330</f>
        <v/>
      </c>
      <c r="S330" t="n">
        <v>0</v>
      </c>
      <c r="T330" s="3">
        <f>SUM(O330:S330)</f>
        <v/>
      </c>
      <c r="U330" s="3">
        <f>IF(P330&lt;8,"USTED ESTÁ AL DÍA","USTED NO ESTÁ AL DÍA")</f>
        <v/>
      </c>
      <c r="V330" s="3" t="inlineStr">
        <is>
          <t>PAGO PRESENCIAL:  05/06 de 4-6 pm (LOCAL DEL PUEBLO), PAGO YAPE: 948 227 636</t>
        </is>
      </c>
      <c r="W330" t="n">
        <v>50</v>
      </c>
      <c r="Y330">
        <f>T330+W330+X330</f>
        <v/>
      </c>
    </row>
    <row r="331" hidden="1" ht="15.75" customHeight="1" s="4">
      <c r="A331" s="3" t="n">
        <v>17225</v>
      </c>
      <c r="B331" s="3" t="inlineStr">
        <is>
          <t>11/04/2026 al 10/05/2026</t>
        </is>
      </c>
      <c r="C331" s="2" t="n">
        <v>46179</v>
      </c>
      <c r="D331" s="2" t="n">
        <v>46174</v>
      </c>
      <c r="E331" s="2" t="n">
        <v>46122</v>
      </c>
      <c r="F331" s="2" t="n">
        <v>46152</v>
      </c>
      <c r="G331" t="inlineStr">
        <is>
          <t>MATILDE MEZA CASTILLEJO</t>
        </is>
      </c>
      <c r="H331" t="inlineStr">
        <is>
          <t>K</t>
        </is>
      </c>
      <c r="I331" t="inlineStr">
        <is>
          <t>16</t>
        </is>
      </c>
      <c r="L331">
        <f>K331-J331</f>
        <v/>
      </c>
      <c r="S331" t="n">
        <v>0</v>
      </c>
      <c r="T331" s="3">
        <f>SUM(O331:S331)</f>
        <v/>
      </c>
      <c r="U331" s="3">
        <f>IF(P331&lt;8,"USTED ESTÁ AL DÍA","USTED NO ESTÁ AL DÍA")</f>
        <v/>
      </c>
      <c r="V331" s="3" t="inlineStr">
        <is>
          <t>PAGO PRESENCIAL:  05/06 de 4-6 pm (LOCAL DEL PUEBLO), PAGO YAPE: 948 227 636</t>
        </is>
      </c>
      <c r="W331" t="n">
        <v>50</v>
      </c>
      <c r="Y331">
        <f>T331+W331+X331</f>
        <v/>
      </c>
    </row>
    <row r="332" hidden="1" ht="15.75" customHeight="1" s="4">
      <c r="A332" s="3" t="n">
        <v>17226</v>
      </c>
      <c r="B332" s="3" t="inlineStr">
        <is>
          <t>11/04/2026 al 10/05/2026</t>
        </is>
      </c>
      <c r="C332" s="2" t="n">
        <v>46179</v>
      </c>
      <c r="D332" s="2" t="n">
        <v>46174</v>
      </c>
      <c r="E332" s="2" t="n">
        <v>46122</v>
      </c>
      <c r="F332" s="2" t="n">
        <v>46152</v>
      </c>
      <c r="G332" t="inlineStr">
        <is>
          <t>ROBERTO CARLOS QUISPE ROMAN</t>
        </is>
      </c>
      <c r="H332" t="inlineStr">
        <is>
          <t>K</t>
        </is>
      </c>
      <c r="I332" t="inlineStr">
        <is>
          <t>18</t>
        </is>
      </c>
      <c r="L332">
        <f>K332-J332</f>
        <v/>
      </c>
      <c r="S332" t="n">
        <v>0</v>
      </c>
      <c r="T332" s="3">
        <f>SUM(O332:S332)</f>
        <v/>
      </c>
      <c r="U332" s="3">
        <f>IF(P332&lt;8,"USTED ESTÁ AL DÍA","USTED NO ESTÁ AL DÍA")</f>
        <v/>
      </c>
      <c r="V332" s="3" t="inlineStr">
        <is>
          <t>PAGO PRESENCIAL:  05/06 de 4-6 pm (LOCAL DEL PUEBLO), PAGO YAPE: 948 227 636</t>
        </is>
      </c>
      <c r="W332" t="n">
        <v>50</v>
      </c>
      <c r="Y332">
        <f>T332+W332+X332</f>
        <v/>
      </c>
    </row>
    <row r="333" hidden="1" ht="15.75" customHeight="1" s="4">
      <c r="A333" s="3" t="n">
        <v>17227</v>
      </c>
      <c r="B333" s="3" t="inlineStr">
        <is>
          <t>11/04/2026 al 10/05/2026</t>
        </is>
      </c>
      <c r="C333" s="2" t="n">
        <v>46179</v>
      </c>
      <c r="D333" s="2" t="n">
        <v>46174</v>
      </c>
      <c r="E333" s="2" t="n">
        <v>46122</v>
      </c>
      <c r="F333" s="2" t="n">
        <v>46152</v>
      </c>
      <c r="G333" t="inlineStr">
        <is>
          <t>EDGAR SILVA GHIGGO</t>
        </is>
      </c>
      <c r="H333" t="inlineStr">
        <is>
          <t>L</t>
        </is>
      </c>
      <c r="I333" t="inlineStr">
        <is>
          <t>3</t>
        </is>
      </c>
      <c r="J333" t="n">
        <v>66</v>
      </c>
      <c r="K333" t="n">
        <v>88</v>
      </c>
      <c r="L333">
        <f>K333-J333</f>
        <v/>
      </c>
      <c r="M333" t="n">
        <v>22</v>
      </c>
      <c r="N333">
        <f>IF(L333&lt;&gt;M333,1,0)</f>
        <v/>
      </c>
      <c r="O333" t="n">
        <v>22</v>
      </c>
      <c r="P333" t="n">
        <v>19</v>
      </c>
      <c r="R333" t="n">
        <v>25</v>
      </c>
      <c r="S333" t="n">
        <v>3</v>
      </c>
      <c r="T333" s="3">
        <f>SUM(O333:S333)</f>
        <v/>
      </c>
      <c r="U333" s="3">
        <f>IF(P333&lt;8,"USTED ESTÁ AL DÍA","USTED NO ESTÁ AL DÍA")</f>
        <v/>
      </c>
      <c r="V333" s="3" t="inlineStr">
        <is>
          <t>PAGO PRESENCIAL:  05/06 de 4-6 pm (LOCAL DEL PUEBLO), PAGO YAPE: 948 227 636</t>
        </is>
      </c>
      <c r="Y333">
        <f>T333+W333+X333</f>
        <v/>
      </c>
    </row>
    <row r="334" hidden="1" ht="15.75" customHeight="1" s="4">
      <c r="A334" s="3" t="n">
        <v>17228</v>
      </c>
      <c r="B334" s="3" t="inlineStr">
        <is>
          <t>11/04/2026 al 10/05/2026</t>
        </is>
      </c>
      <c r="C334" s="2" t="n">
        <v>46179</v>
      </c>
      <c r="D334" s="2" t="n">
        <v>46174</v>
      </c>
      <c r="E334" s="2" t="n">
        <v>46122</v>
      </c>
      <c r="F334" s="2" t="n">
        <v>46152</v>
      </c>
      <c r="G334" t="inlineStr">
        <is>
          <t>RAUL OLIVO CORDOVA</t>
        </is>
      </c>
      <c r="H334" t="inlineStr">
        <is>
          <t>L</t>
        </is>
      </c>
      <c r="I334" t="inlineStr">
        <is>
          <t>5</t>
        </is>
      </c>
      <c r="J334" t="n">
        <v>11</v>
      </c>
      <c r="K334" t="n">
        <v>13</v>
      </c>
      <c r="L334">
        <f>K334-J334</f>
        <v/>
      </c>
      <c r="M334" t="n">
        <v>5</v>
      </c>
      <c r="O334" t="n">
        <v>5</v>
      </c>
      <c r="P334" t="n">
        <v>8</v>
      </c>
      <c r="S334" t="n">
        <v>3</v>
      </c>
      <c r="T334" s="3">
        <f>SUM(O334:S334)</f>
        <v/>
      </c>
      <c r="U334" s="3">
        <f>IF(P334&lt;8,"USTED ESTÁ AL DÍA","USTED NO ESTÁ AL DÍA")</f>
        <v/>
      </c>
      <c r="V334" s="3" t="inlineStr">
        <is>
          <t>PAGO PRESENCIAL:  05/06 de 4-6 pm (LOCAL DEL PUEBLO), PAGO YAPE: 948 227 636</t>
        </is>
      </c>
      <c r="W334" t="n">
        <v>50</v>
      </c>
      <c r="X334" t="n">
        <v>50</v>
      </c>
      <c r="Y334">
        <f>T334+W334+X334</f>
        <v/>
      </c>
    </row>
    <row r="335" hidden="1" ht="15.75" customHeight="1" s="4">
      <c r="A335" s="3" t="n">
        <v>17229</v>
      </c>
      <c r="B335" s="3" t="inlineStr">
        <is>
          <t>11/04/2026 al 10/05/2026</t>
        </is>
      </c>
      <c r="C335" s="2" t="n">
        <v>46179</v>
      </c>
      <c r="D335" s="2" t="n">
        <v>46174</v>
      </c>
      <c r="E335" s="2" t="n">
        <v>46122</v>
      </c>
      <c r="F335" s="2" t="n">
        <v>46152</v>
      </c>
      <c r="G335" t="inlineStr">
        <is>
          <t>ELEUTERIO PASTOR LEYVA</t>
        </is>
      </c>
      <c r="H335" t="inlineStr">
        <is>
          <t>L</t>
        </is>
      </c>
      <c r="I335" t="inlineStr">
        <is>
          <t>6</t>
        </is>
      </c>
      <c r="J335" t="n">
        <v>30</v>
      </c>
      <c r="K335" t="n">
        <v>47</v>
      </c>
      <c r="L335">
        <f>K335-J335</f>
        <v/>
      </c>
      <c r="M335" t="n">
        <v>17</v>
      </c>
      <c r="N335">
        <f>IF(L335&lt;&gt;M335,1,0)</f>
        <v/>
      </c>
      <c r="O335" t="n">
        <v>17</v>
      </c>
      <c r="P335" t="n">
        <v>19</v>
      </c>
      <c r="R335" t="n">
        <v>25</v>
      </c>
      <c r="S335" t="n">
        <v>3</v>
      </c>
      <c r="T335" s="3">
        <f>SUM(O335:S335)</f>
        <v/>
      </c>
      <c r="U335" s="3">
        <f>IF(P335&lt;8,"USTED ESTÁ AL DÍA","USTED NO ESTÁ AL DÍA")</f>
        <v/>
      </c>
      <c r="V335" s="3" t="inlineStr">
        <is>
          <t>PAGO PRESENCIAL:  05/06 de 4-6 pm (LOCAL DEL PUEBLO), PAGO YAPE: 948 227 636</t>
        </is>
      </c>
      <c r="X335" t="n">
        <v>50</v>
      </c>
      <c r="Y335">
        <f>T335+W335+X335</f>
        <v/>
      </c>
    </row>
    <row r="336" hidden="1" ht="15.75" customHeight="1" s="4">
      <c r="A336" s="3" t="n">
        <v>17230</v>
      </c>
      <c r="B336" s="3" t="inlineStr">
        <is>
          <t>11/04/2026 al 10/05/2026</t>
        </is>
      </c>
      <c r="C336" s="2" t="n">
        <v>46179</v>
      </c>
      <c r="D336" s="2" t="n">
        <v>46174</v>
      </c>
      <c r="E336" s="2" t="n">
        <v>46122</v>
      </c>
      <c r="F336" s="2" t="n">
        <v>46152</v>
      </c>
      <c r="G336" t="inlineStr">
        <is>
          <t>LUISA ELENA CASPA DIAS</t>
        </is>
      </c>
      <c r="H336" t="inlineStr">
        <is>
          <t>L</t>
        </is>
      </c>
      <c r="I336" t="inlineStr">
        <is>
          <t>1</t>
        </is>
      </c>
      <c r="J336" t="n">
        <v>23</v>
      </c>
      <c r="K336" t="n">
        <v>32</v>
      </c>
      <c r="L336">
        <f>K336-J336</f>
        <v/>
      </c>
      <c r="M336" t="n">
        <v>9</v>
      </c>
      <c r="N336">
        <f>IF(L336&lt;&gt;M336,1,0)</f>
        <v/>
      </c>
      <c r="O336" t="n">
        <v>9</v>
      </c>
      <c r="R336" t="n">
        <v>25</v>
      </c>
      <c r="S336" t="n">
        <v>3</v>
      </c>
      <c r="T336" s="3">
        <f>SUM(O336:S336)</f>
        <v/>
      </c>
      <c r="U336" s="3">
        <f>IF(P336&lt;8,"USTED ESTÁ AL DÍA","USTED NO ESTÁ AL DÍA")</f>
        <v/>
      </c>
      <c r="V336" s="3" t="inlineStr">
        <is>
          <t>PAGO PRESENCIAL:  05/06 de 4-6 pm (LOCAL DEL PUEBLO), PAGO YAPE: 948 227 636</t>
        </is>
      </c>
      <c r="X336" t="n">
        <v>50</v>
      </c>
      <c r="Y336">
        <f>T336+W336+X336</f>
        <v/>
      </c>
    </row>
    <row r="337" hidden="1" ht="15.75" customHeight="1" s="4">
      <c r="A337" s="3" t="n">
        <v>17231</v>
      </c>
      <c r="B337" s="3" t="inlineStr">
        <is>
          <t>11/04/2026 al 10/05/2026</t>
        </is>
      </c>
      <c r="C337" s="2" t="n">
        <v>46179</v>
      </c>
      <c r="D337" s="2" t="n">
        <v>46174</v>
      </c>
      <c r="E337" s="2" t="n">
        <v>46122</v>
      </c>
      <c r="F337" s="2" t="n">
        <v>46152</v>
      </c>
      <c r="G337" t="inlineStr">
        <is>
          <t>ALEJANDRO JULCA COLLANTES</t>
        </is>
      </c>
      <c r="H337" t="inlineStr">
        <is>
          <t>L</t>
        </is>
      </c>
      <c r="I337" t="inlineStr">
        <is>
          <t>2</t>
        </is>
      </c>
      <c r="J337" t="n">
        <v>52</v>
      </c>
      <c r="K337" t="n">
        <v>75</v>
      </c>
      <c r="L337">
        <f>K337-J337</f>
        <v/>
      </c>
      <c r="M337" t="n">
        <v>23</v>
      </c>
      <c r="N337">
        <f>IF(L337&lt;&gt;M337,1,0)</f>
        <v/>
      </c>
      <c r="O337" t="n">
        <v>23</v>
      </c>
      <c r="R337" t="n">
        <v>25</v>
      </c>
      <c r="S337" t="n">
        <v>3</v>
      </c>
      <c r="T337" s="3">
        <f>SUM(O337:S337)</f>
        <v/>
      </c>
      <c r="U337" s="3">
        <f>IF(P337&lt;8,"USTED ESTÁ AL DÍA","USTED NO ESTÁ AL DÍA")</f>
        <v/>
      </c>
      <c r="V337" s="3" t="inlineStr">
        <is>
          <t>PAGO PRESENCIAL:  05/06 de 4-6 pm (LOCAL DEL PUEBLO), PAGO YAPE: 948 227 636</t>
        </is>
      </c>
      <c r="Y337">
        <f>T337+W337+X337</f>
        <v/>
      </c>
    </row>
    <row r="338" hidden="1" ht="15.75" customHeight="1" s="4">
      <c r="A338" s="3" t="n">
        <v>17232</v>
      </c>
      <c r="B338" s="3" t="inlineStr">
        <is>
          <t>11/04/2026 al 10/05/2026</t>
        </is>
      </c>
      <c r="C338" s="2" t="n">
        <v>46179</v>
      </c>
      <c r="D338" s="2" t="n">
        <v>46174</v>
      </c>
      <c r="E338" s="2" t="n">
        <v>46122</v>
      </c>
      <c r="F338" s="2" t="n">
        <v>46152</v>
      </c>
      <c r="G338" t="inlineStr">
        <is>
          <t>DELIA DORIS HUAMANSUPA PEREZ</t>
        </is>
      </c>
      <c r="H338" t="inlineStr">
        <is>
          <t>L</t>
        </is>
      </c>
      <c r="I338" t="inlineStr">
        <is>
          <t>4</t>
        </is>
      </c>
      <c r="J338" t="n">
        <v>28</v>
      </c>
      <c r="K338" t="n">
        <v>38</v>
      </c>
      <c r="L338">
        <f>K338-J338</f>
        <v/>
      </c>
      <c r="M338" t="n">
        <v>10</v>
      </c>
      <c r="N338">
        <f>IF(L338&lt;&gt;M338,1,0)</f>
        <v/>
      </c>
      <c r="O338" t="n">
        <v>10</v>
      </c>
      <c r="R338" t="n">
        <v>25</v>
      </c>
      <c r="S338" t="n">
        <v>3</v>
      </c>
      <c r="T338" s="3">
        <f>SUM(O338:S338)</f>
        <v/>
      </c>
      <c r="U338" s="3">
        <f>IF(P338&lt;8,"USTED ESTÁ AL DÍA","USTED NO ESTÁ AL DÍA")</f>
        <v/>
      </c>
      <c r="V338" s="3" t="inlineStr">
        <is>
          <t>PAGO PRESENCIAL:  05/06 de 4-6 pm (LOCAL DEL PUEBLO), PAGO YAPE: 948 227 636</t>
        </is>
      </c>
      <c r="W338" t="n">
        <v>20</v>
      </c>
      <c r="X338" t="n">
        <v>75</v>
      </c>
      <c r="Y338">
        <f>T338+W338+X338</f>
        <v/>
      </c>
    </row>
    <row r="339" hidden="1" ht="15.75" customHeight="1" s="4">
      <c r="A339" s="3" t="n">
        <v>17233</v>
      </c>
      <c r="B339" s="3" t="inlineStr">
        <is>
          <t>11/04/2026 al 10/05/2026</t>
        </is>
      </c>
      <c r="C339" s="2" t="n">
        <v>46179</v>
      </c>
      <c r="D339" s="2" t="n">
        <v>46174</v>
      </c>
      <c r="E339" s="2" t="n">
        <v>46122</v>
      </c>
      <c r="F339" s="2" t="n">
        <v>46152</v>
      </c>
      <c r="G339" t="inlineStr">
        <is>
          <t>MARGARITA SAAVEDRA TRUJILLO</t>
        </is>
      </c>
      <c r="H339" t="inlineStr">
        <is>
          <t>L</t>
        </is>
      </c>
      <c r="I339" t="inlineStr">
        <is>
          <t>7</t>
        </is>
      </c>
      <c r="J339" t="n">
        <v>38</v>
      </c>
      <c r="K339" t="n">
        <v>61</v>
      </c>
      <c r="L339">
        <f>K339-J339</f>
        <v/>
      </c>
      <c r="M339" t="n">
        <v>23</v>
      </c>
      <c r="N339">
        <f>IF(L339&lt;&gt;M339,1,0)</f>
        <v/>
      </c>
      <c r="O339" t="n">
        <v>23</v>
      </c>
      <c r="R339" t="n">
        <v>25</v>
      </c>
      <c r="S339" t="n">
        <v>3</v>
      </c>
      <c r="T339" s="3">
        <f>SUM(O339:S339)</f>
        <v/>
      </c>
      <c r="U339" s="3">
        <f>IF(P339&lt;8,"USTED ESTÁ AL DÍA","USTED NO ESTÁ AL DÍA")</f>
        <v/>
      </c>
      <c r="V339" s="3" t="inlineStr">
        <is>
          <t>PAGO PRESENCIAL:  05/06 de 4-6 pm (LOCAL DEL PUEBLO), PAGO YAPE: 948 227 636</t>
        </is>
      </c>
      <c r="Y339">
        <f>T339+W339+X339</f>
        <v/>
      </c>
    </row>
    <row r="340" hidden="1" ht="15.75" customHeight="1" s="4">
      <c r="A340" s="3" t="n">
        <v>17234</v>
      </c>
      <c r="B340" s="3" t="inlineStr">
        <is>
          <t>11/04/2026 al 10/05/2026</t>
        </is>
      </c>
      <c r="C340" s="2" t="n">
        <v>46179</v>
      </c>
      <c r="D340" s="2" t="n">
        <v>46174</v>
      </c>
      <c r="E340" s="2" t="n">
        <v>46122</v>
      </c>
      <c r="F340" s="2" t="n">
        <v>46152</v>
      </c>
      <c r="G340" t="inlineStr">
        <is>
          <t>ANA RODRIGUEZ DOMINGUEZ</t>
        </is>
      </c>
      <c r="H340" t="inlineStr">
        <is>
          <t>L</t>
        </is>
      </c>
      <c r="I340" t="inlineStr">
        <is>
          <t>8</t>
        </is>
      </c>
      <c r="J340" t="n">
        <v>55</v>
      </c>
      <c r="K340" t="n">
        <v>79</v>
      </c>
      <c r="L340">
        <f>K340-J340</f>
        <v/>
      </c>
      <c r="M340" t="n">
        <v>24</v>
      </c>
      <c r="N340">
        <f>IF(L340&lt;&gt;M340,1,0)</f>
        <v/>
      </c>
      <c r="O340" t="n">
        <v>24</v>
      </c>
      <c r="R340" t="n">
        <v>25</v>
      </c>
      <c r="S340" t="n">
        <v>3</v>
      </c>
      <c r="T340" s="3">
        <f>SUM(O340:S340)</f>
        <v/>
      </c>
      <c r="U340" s="3">
        <f>IF(P340&lt;8,"USTED ESTÁ AL DÍA","USTED NO ESTÁ AL DÍA")</f>
        <v/>
      </c>
      <c r="V340" s="3" t="inlineStr">
        <is>
          <t>PAGO PRESENCIAL:  05/06 de 4-6 pm (LOCAL DEL PUEBLO), PAGO YAPE: 948 227 636</t>
        </is>
      </c>
      <c r="Y340">
        <f>T340+W340+X340</f>
        <v/>
      </c>
    </row>
    <row r="341" hidden="1" ht="15.75" customHeight="1" s="4">
      <c r="A341" s="3" t="n">
        <v>17235</v>
      </c>
      <c r="B341" s="3" t="inlineStr">
        <is>
          <t>11/04/2026 al 10/05/2026</t>
        </is>
      </c>
      <c r="C341" s="2" t="n">
        <v>46179</v>
      </c>
      <c r="D341" s="2" t="n">
        <v>46174</v>
      </c>
      <c r="E341" s="2" t="n">
        <v>46122</v>
      </c>
      <c r="F341" s="2" t="n">
        <v>46152</v>
      </c>
      <c r="G341" t="inlineStr">
        <is>
          <t>ELOY ALBERTO SIGUEÑAS UGARTE</t>
        </is>
      </c>
      <c r="H341" t="inlineStr">
        <is>
          <t>L</t>
        </is>
      </c>
      <c r="I341" t="inlineStr">
        <is>
          <t>10</t>
        </is>
      </c>
      <c r="J341" t="n">
        <v>45</v>
      </c>
      <c r="K341" t="n">
        <v>65</v>
      </c>
      <c r="L341">
        <f>K341-J341</f>
        <v/>
      </c>
      <c r="M341" t="n">
        <v>20</v>
      </c>
      <c r="N341">
        <f>IF(L341&lt;&gt;M341,1,0)</f>
        <v/>
      </c>
      <c r="O341" t="n">
        <v>20</v>
      </c>
      <c r="R341" t="n">
        <v>25</v>
      </c>
      <c r="S341" t="n">
        <v>3</v>
      </c>
      <c r="T341" s="3">
        <f>SUM(O341:S341)</f>
        <v/>
      </c>
      <c r="U341" s="3">
        <f>IF(P341&lt;8,"USTED ESTÁ AL DÍA","USTED NO ESTÁ AL DÍA")</f>
        <v/>
      </c>
      <c r="V341" s="3" t="inlineStr">
        <is>
          <t>PAGO PRESENCIAL:  05/06 de 4-6 pm (LOCAL DEL PUEBLO), PAGO YAPE: 948 227 636</t>
        </is>
      </c>
      <c r="W341" t="n">
        <v>20</v>
      </c>
      <c r="X341" t="n">
        <v>75</v>
      </c>
      <c r="Y341">
        <f>T341+W341+X341</f>
        <v/>
      </c>
    </row>
    <row r="342" hidden="1" ht="15.75" customHeight="1" s="4">
      <c r="A342" s="3" t="n">
        <v>17236</v>
      </c>
      <c r="B342" s="3" t="inlineStr">
        <is>
          <t>11/04/2026 al 10/05/2026</t>
        </is>
      </c>
      <c r="C342" s="2" t="n">
        <v>46179</v>
      </c>
      <c r="D342" s="2" t="n">
        <v>46174</v>
      </c>
      <c r="E342" s="2" t="n">
        <v>46122</v>
      </c>
      <c r="F342" s="2" t="n">
        <v>46152</v>
      </c>
      <c r="G342" t="inlineStr">
        <is>
          <t>JAIME VILLANUEVA ALEGRIA</t>
        </is>
      </c>
      <c r="H342" t="inlineStr">
        <is>
          <t>L</t>
        </is>
      </c>
      <c r="I342" t="inlineStr">
        <is>
          <t>11</t>
        </is>
      </c>
      <c r="J342" t="n">
        <v>16</v>
      </c>
      <c r="K342" t="n">
        <v>26</v>
      </c>
      <c r="L342">
        <f>K342-J342</f>
        <v/>
      </c>
      <c r="M342" t="n">
        <v>10</v>
      </c>
      <c r="N342">
        <f>IF(L342&lt;&gt;M342,1,0)</f>
        <v/>
      </c>
      <c r="O342" t="n">
        <v>10</v>
      </c>
      <c r="R342" t="n">
        <v>25</v>
      </c>
      <c r="S342" t="n">
        <v>3</v>
      </c>
      <c r="T342" s="3">
        <f>SUM(O342:S342)</f>
        <v/>
      </c>
      <c r="U342" s="3">
        <f>IF(P342&lt;8,"USTED ESTÁ AL DÍA","USTED NO ESTÁ AL DÍA")</f>
        <v/>
      </c>
      <c r="V342" s="3" t="inlineStr">
        <is>
          <t>PAGO PRESENCIAL:  05/06 de 4-6 pm (LOCAL DEL PUEBLO), PAGO YAPE: 948 227 636</t>
        </is>
      </c>
      <c r="Y342">
        <f>T342+W342+X342</f>
        <v/>
      </c>
    </row>
    <row r="343" hidden="1" ht="15.75" customHeight="1" s="4">
      <c r="A343" s="3" t="n">
        <v>17237</v>
      </c>
      <c r="B343" s="3" t="inlineStr">
        <is>
          <t>11/04/2026 al 10/05/2026</t>
        </is>
      </c>
      <c r="C343" s="2" t="n">
        <v>46179</v>
      </c>
      <c r="D343" s="2" t="n">
        <v>46174</v>
      </c>
      <c r="E343" s="2" t="n">
        <v>46122</v>
      </c>
      <c r="F343" s="2" t="n">
        <v>46152</v>
      </c>
      <c r="G343" t="inlineStr">
        <is>
          <t>DONATA SAMARITANO CERNA</t>
        </is>
      </c>
      <c r="H343" t="inlineStr">
        <is>
          <t>L</t>
        </is>
      </c>
      <c r="I343" t="inlineStr">
        <is>
          <t>12</t>
        </is>
      </c>
      <c r="J343" t="n">
        <v>26</v>
      </c>
      <c r="K343" t="n">
        <v>39</v>
      </c>
      <c r="L343">
        <f>K343-J343</f>
        <v/>
      </c>
      <c r="M343" t="n">
        <v>13</v>
      </c>
      <c r="N343">
        <f>IF(L343&lt;&gt;M343,1,0)</f>
        <v/>
      </c>
      <c r="O343" t="n">
        <v>13</v>
      </c>
      <c r="R343" t="n">
        <v>25</v>
      </c>
      <c r="S343" t="n">
        <v>3</v>
      </c>
      <c r="T343" s="3">
        <f>SUM(O343:S343)</f>
        <v/>
      </c>
      <c r="U343" s="3">
        <f>IF(P343&lt;8,"USTED ESTÁ AL DÍA","USTED NO ESTÁ AL DÍA")</f>
        <v/>
      </c>
      <c r="V343" s="3" t="inlineStr">
        <is>
          <t>PAGO PRESENCIAL:  05/06 de 4-6 pm (LOCAL DEL PUEBLO), PAGO YAPE: 948 227 636</t>
        </is>
      </c>
      <c r="Y343">
        <f>T343+W343+X343</f>
        <v/>
      </c>
    </row>
    <row r="344" hidden="1" ht="15.75" customHeight="1" s="4">
      <c r="A344" s="3" t="n">
        <v>17238</v>
      </c>
      <c r="B344" s="3" t="inlineStr">
        <is>
          <t>11/04/2026 al 10/05/2026</t>
        </is>
      </c>
      <c r="C344" s="2" t="n">
        <v>46179</v>
      </c>
      <c r="D344" s="2" t="n">
        <v>46174</v>
      </c>
      <c r="E344" s="2" t="n">
        <v>46122</v>
      </c>
      <c r="F344" s="2" t="n">
        <v>46152</v>
      </c>
      <c r="G344" t="inlineStr">
        <is>
          <t>HUACANCA HUAROMA ROSITA</t>
        </is>
      </c>
      <c r="H344" t="inlineStr">
        <is>
          <t>L</t>
        </is>
      </c>
      <c r="I344" t="inlineStr">
        <is>
          <t>13</t>
        </is>
      </c>
      <c r="J344" t="n">
        <v>1444</v>
      </c>
      <c r="K344" t="n">
        <v>1450</v>
      </c>
      <c r="L344">
        <f>K344-J344</f>
        <v/>
      </c>
      <c r="M344" t="n">
        <v>6</v>
      </c>
      <c r="N344">
        <f>IF(L344&lt;&gt;M344,1,0)</f>
        <v/>
      </c>
      <c r="O344" t="n">
        <v>6</v>
      </c>
      <c r="S344" t="n">
        <v>3</v>
      </c>
      <c r="T344" s="3">
        <f>SUM(O344:S344)</f>
        <v/>
      </c>
      <c r="U344" s="3">
        <f>IF(P344&lt;8,"USTED ESTÁ AL DÍA","USTED NO ESTÁ AL DÍA")</f>
        <v/>
      </c>
      <c r="V344" s="3" t="inlineStr">
        <is>
          <t>PAGO PRESENCIAL:  05/06 de 4-6 pm (LOCAL DEL PUEBLO), PAGO YAPE: 948 227 636</t>
        </is>
      </c>
      <c r="W344" t="n">
        <v>30</v>
      </c>
      <c r="Y344">
        <f>T344+W344+X344</f>
        <v/>
      </c>
    </row>
    <row r="345" hidden="1" ht="15.75" customHeight="1" s="4">
      <c r="A345" s="3" t="n">
        <v>17239</v>
      </c>
      <c r="B345" s="3" t="inlineStr">
        <is>
          <t>11/04/2026 al 10/05/2026</t>
        </is>
      </c>
      <c r="C345" s="2" t="n">
        <v>46179</v>
      </c>
      <c r="D345" s="2" t="n">
        <v>46174</v>
      </c>
      <c r="E345" s="2" t="n">
        <v>46122</v>
      </c>
      <c r="F345" s="2" t="n">
        <v>46152</v>
      </c>
      <c r="G345" t="inlineStr">
        <is>
          <t>JOSE SOCOLA RUIZ</t>
        </is>
      </c>
      <c r="H345" t="inlineStr">
        <is>
          <t>L</t>
        </is>
      </c>
      <c r="I345" t="inlineStr">
        <is>
          <t>14</t>
        </is>
      </c>
      <c r="J345" t="n">
        <v>45</v>
      </c>
      <c r="K345" t="n">
        <v>62</v>
      </c>
      <c r="L345">
        <f>K345-J345</f>
        <v/>
      </c>
      <c r="M345" t="n">
        <v>17</v>
      </c>
      <c r="N345">
        <f>IF(L345&lt;&gt;M345,1,0)</f>
        <v/>
      </c>
      <c r="O345" t="n">
        <v>17</v>
      </c>
      <c r="R345" t="n">
        <v>25</v>
      </c>
      <c r="S345" t="n">
        <v>3</v>
      </c>
      <c r="T345" s="3">
        <f>SUM(O345:S345)</f>
        <v/>
      </c>
      <c r="U345" s="3">
        <f>IF(P345&lt;8,"USTED ESTÁ AL DÍA","USTED NO ESTÁ AL DÍA")</f>
        <v/>
      </c>
      <c r="V345" s="3" t="inlineStr">
        <is>
          <t>PAGO PRESENCIAL:  05/06 de 4-6 pm (LOCAL DEL PUEBLO), PAGO YAPE: 948 227 636</t>
        </is>
      </c>
      <c r="W345" t="n">
        <v>30</v>
      </c>
      <c r="Y345">
        <f>T345+W345+X345</f>
        <v/>
      </c>
    </row>
    <row r="346" hidden="1" ht="15.75" customHeight="1" s="4">
      <c r="A346" s="3" t="n">
        <v>17240</v>
      </c>
      <c r="B346" s="3" t="inlineStr">
        <is>
          <t>11/04/2026 al 10/05/2026</t>
        </is>
      </c>
      <c r="C346" s="2" t="n">
        <v>46179</v>
      </c>
      <c r="D346" s="2" t="n">
        <v>46174</v>
      </c>
      <c r="E346" s="2" t="n">
        <v>46122</v>
      </c>
      <c r="F346" s="2" t="n">
        <v>46152</v>
      </c>
      <c r="G346" t="inlineStr">
        <is>
          <t>AGUSTINA CALDAS CORZO</t>
        </is>
      </c>
      <c r="H346" t="inlineStr">
        <is>
          <t>L</t>
        </is>
      </c>
      <c r="I346" t="inlineStr">
        <is>
          <t>15</t>
        </is>
      </c>
      <c r="J346" t="n">
        <v>2441</v>
      </c>
      <c r="K346" t="n">
        <v>2451</v>
      </c>
      <c r="L346">
        <f>K346-J346</f>
        <v/>
      </c>
      <c r="M346" t="n">
        <v>10</v>
      </c>
      <c r="N346">
        <f>IF(L346&lt;&gt;M346,1,0)</f>
        <v/>
      </c>
      <c r="O346" t="n">
        <v>10</v>
      </c>
      <c r="S346" t="n">
        <v>3</v>
      </c>
      <c r="T346" s="3">
        <f>SUM(O346:S346)</f>
        <v/>
      </c>
      <c r="U346" s="3">
        <f>IF(P346&lt;8,"USTED ESTÁ AL DÍA","USTED NO ESTÁ AL DÍA")</f>
        <v/>
      </c>
      <c r="V346" s="3" t="inlineStr">
        <is>
          <t>PAGO PRESENCIAL:  05/06 de 4-6 pm (LOCAL DEL PUEBLO), PAGO YAPE: 948 227 636</t>
        </is>
      </c>
      <c r="W346" t="n">
        <v>20</v>
      </c>
      <c r="Y346">
        <f>T346+W346+X346</f>
        <v/>
      </c>
    </row>
    <row r="347" hidden="1" ht="15.75" customHeight="1" s="4">
      <c r="A347" s="3" t="n">
        <v>17241</v>
      </c>
      <c r="B347" s="3" t="inlineStr">
        <is>
          <t>11/04/2026 al 10/05/2026</t>
        </is>
      </c>
      <c r="C347" s="2" t="n">
        <v>46179</v>
      </c>
      <c r="D347" s="2" t="n">
        <v>46174</v>
      </c>
      <c r="E347" s="2" t="n">
        <v>46122</v>
      </c>
      <c r="F347" s="2" t="n">
        <v>46152</v>
      </c>
      <c r="G347" t="inlineStr">
        <is>
          <t>MARIANELA ELIZABET RIVERA VITATE</t>
        </is>
      </c>
      <c r="H347" t="inlineStr">
        <is>
          <t>L</t>
        </is>
      </c>
      <c r="I347" t="inlineStr">
        <is>
          <t>9</t>
        </is>
      </c>
      <c r="L347">
        <f>K347-J347</f>
        <v/>
      </c>
      <c r="S347" t="n">
        <v>0</v>
      </c>
      <c r="T347" s="3">
        <f>SUM(O347:S347)</f>
        <v/>
      </c>
      <c r="U347" s="3">
        <f>IF(P347&lt;8,"USTED ESTÁ AL DÍA","USTED NO ESTÁ AL DÍA")</f>
        <v/>
      </c>
      <c r="V347" s="3" t="inlineStr">
        <is>
          <t>PAGO PRESENCIAL:  05/06 de 4-6 pm (LOCAL DEL PUEBLO), PAGO YAPE: 948 227 636</t>
        </is>
      </c>
      <c r="W347" t="n">
        <v>30</v>
      </c>
      <c r="X347" t="n">
        <v>50</v>
      </c>
      <c r="Y347">
        <f>T347+W347+X347</f>
        <v/>
      </c>
    </row>
    <row r="348" hidden="1" ht="15.75" customHeight="1" s="4">
      <c r="A348" s="3" t="n">
        <v>17242</v>
      </c>
      <c r="B348" s="3" t="inlineStr">
        <is>
          <t>11/04/2026 al 10/05/2026</t>
        </is>
      </c>
      <c r="C348" s="2" t="n">
        <v>46179</v>
      </c>
      <c r="D348" s="2" t="n">
        <v>46174</v>
      </c>
      <c r="E348" s="2" t="n">
        <v>46122</v>
      </c>
      <c r="F348" s="2" t="n">
        <v>46152</v>
      </c>
      <c r="G348" t="inlineStr">
        <is>
          <t>MAXIMA CARRANZA RODRIGUEZ</t>
        </is>
      </c>
      <c r="H348" t="inlineStr">
        <is>
          <t>L</t>
        </is>
      </c>
      <c r="I348" t="inlineStr">
        <is>
          <t>16</t>
        </is>
      </c>
      <c r="L348">
        <f>K348-J348</f>
        <v/>
      </c>
      <c r="S348" t="n">
        <v>0</v>
      </c>
      <c r="T348" s="3">
        <f>SUM(O348:S348)</f>
        <v/>
      </c>
      <c r="U348" s="3">
        <f>IF(P348&lt;8,"USTED ESTÁ AL DÍA","USTED NO ESTÁ AL DÍA")</f>
        <v/>
      </c>
      <c r="V348" s="3" t="inlineStr">
        <is>
          <t>PAGO PRESENCIAL:  05/06 de 4-6 pm (LOCAL DEL PUEBLO), PAGO YAPE: 948 227 636</t>
        </is>
      </c>
      <c r="X348" t="n">
        <v>50</v>
      </c>
      <c r="Y348">
        <f>T348+W348+X348</f>
        <v/>
      </c>
    </row>
    <row r="349" hidden="1" ht="15.75" customHeight="1" s="4">
      <c r="A349" s="3" t="n">
        <v>17243</v>
      </c>
      <c r="B349" s="3" t="inlineStr">
        <is>
          <t>11/04/2026 al 10/05/2026</t>
        </is>
      </c>
      <c r="C349" s="2" t="n">
        <v>46179</v>
      </c>
      <c r="D349" s="2" t="n">
        <v>46174</v>
      </c>
      <c r="E349" s="2" t="n">
        <v>46122</v>
      </c>
      <c r="F349" s="2" t="n">
        <v>46152</v>
      </c>
      <c r="G349" t="inlineStr">
        <is>
          <t>VICTORIA COCHACHIN CASIO</t>
        </is>
      </c>
      <c r="H349" t="inlineStr">
        <is>
          <t>M</t>
        </is>
      </c>
      <c r="I349" t="inlineStr">
        <is>
          <t>7</t>
        </is>
      </c>
      <c r="J349" t="n">
        <v>721</v>
      </c>
      <c r="K349" t="n">
        <v>742</v>
      </c>
      <c r="L349">
        <f>K349-J349</f>
        <v/>
      </c>
      <c r="M349" t="n">
        <v>21</v>
      </c>
      <c r="N349">
        <f>IF(L349&lt;&gt;M349,1,0)</f>
        <v/>
      </c>
      <c r="O349" t="n">
        <v>21</v>
      </c>
      <c r="P349" t="n">
        <v>20</v>
      </c>
      <c r="S349" t="n">
        <v>3</v>
      </c>
      <c r="T349" s="3">
        <f>SUM(O349:S349)</f>
        <v/>
      </c>
      <c r="U349" s="3">
        <f>IF(P349&lt;8,"USTED ESTÁ AL DÍA","USTED NO ESTÁ AL DÍA")</f>
        <v/>
      </c>
      <c r="V349" s="3" t="inlineStr">
        <is>
          <t>PAGO PRESENCIAL:  05/06 de 4-6 pm (LOCAL DEL PUEBLO), PAGO YAPE: 948 227 636</t>
        </is>
      </c>
      <c r="Y349">
        <f>T349+W349+X349</f>
        <v/>
      </c>
    </row>
    <row r="350" hidden="1" ht="15.75" customHeight="1" s="4">
      <c r="A350" s="3" t="n">
        <v>17244</v>
      </c>
      <c r="B350" s="3" t="inlineStr">
        <is>
          <t>11/04/2026 al 10/05/2026</t>
        </is>
      </c>
      <c r="C350" s="2" t="n">
        <v>46179</v>
      </c>
      <c r="D350" s="2" t="n">
        <v>46174</v>
      </c>
      <c r="E350" s="2" t="n">
        <v>46122</v>
      </c>
      <c r="F350" s="2" t="n">
        <v>46152</v>
      </c>
      <c r="G350" t="inlineStr">
        <is>
          <t>SEGUNDO SHUMA COMAPA</t>
        </is>
      </c>
      <c r="H350" t="inlineStr">
        <is>
          <t>M</t>
        </is>
      </c>
      <c r="I350" t="inlineStr">
        <is>
          <t>9</t>
        </is>
      </c>
      <c r="J350" t="n">
        <v>0</v>
      </c>
      <c r="K350" t="n">
        <v>0</v>
      </c>
      <c r="L350">
        <f>K350-J350</f>
        <v/>
      </c>
      <c r="M350" t="n">
        <v>5</v>
      </c>
      <c r="O350" t="n">
        <v>5</v>
      </c>
      <c r="P350" t="n">
        <v>8</v>
      </c>
      <c r="R350" t="n">
        <v>25</v>
      </c>
      <c r="S350" t="n">
        <v>3</v>
      </c>
      <c r="T350" s="3">
        <f>SUM(O350:S350)</f>
        <v/>
      </c>
      <c r="U350" s="3">
        <f>IF(P350&lt;8,"USTED ESTÁ AL DÍA","USTED NO ESTÁ AL DÍA")</f>
        <v/>
      </c>
      <c r="V350" s="3" t="inlineStr">
        <is>
          <t>PAGO PRESENCIAL:  05/06 de 4-6 pm (LOCAL DEL PUEBLO), PAGO YAPE: 948 227 636</t>
        </is>
      </c>
      <c r="W350" t="n">
        <v>50</v>
      </c>
      <c r="X350" t="n">
        <v>75</v>
      </c>
      <c r="Y350">
        <f>T350+W350+X350</f>
        <v/>
      </c>
    </row>
    <row r="351" hidden="1" ht="15.75" customHeight="1" s="4">
      <c r="A351" s="3" t="n">
        <v>17245</v>
      </c>
      <c r="B351" s="3" t="inlineStr">
        <is>
          <t>11/04/2026 al 10/05/2026</t>
        </is>
      </c>
      <c r="C351" s="2" t="n">
        <v>46179</v>
      </c>
      <c r="D351" s="2" t="n">
        <v>46174</v>
      </c>
      <c r="E351" s="2" t="n">
        <v>46122</v>
      </c>
      <c r="F351" s="2" t="n">
        <v>46152</v>
      </c>
      <c r="G351" t="inlineStr">
        <is>
          <t>ENMA CRISTINA BLAS QUISPE</t>
        </is>
      </c>
      <c r="H351" t="inlineStr">
        <is>
          <t>M</t>
        </is>
      </c>
      <c r="I351" t="inlineStr">
        <is>
          <t>10</t>
        </is>
      </c>
      <c r="J351" t="n">
        <v>1138</v>
      </c>
      <c r="K351" t="n">
        <v>1154</v>
      </c>
      <c r="L351">
        <f>K351-J351</f>
        <v/>
      </c>
      <c r="M351" t="n">
        <v>16</v>
      </c>
      <c r="N351">
        <f>IF(L351&lt;&gt;M351,1,0)</f>
        <v/>
      </c>
      <c r="O351" t="n">
        <v>16</v>
      </c>
      <c r="P351" t="n">
        <v>15</v>
      </c>
      <c r="S351" t="n">
        <v>3</v>
      </c>
      <c r="T351" s="3">
        <f>SUM(O351:S351)</f>
        <v/>
      </c>
      <c r="U351" s="3">
        <f>IF(P351&lt;8,"USTED ESTÁ AL DÍA","USTED NO ESTÁ AL DÍA")</f>
        <v/>
      </c>
      <c r="V351" s="3" t="inlineStr">
        <is>
          <t>PAGO PRESENCIAL:  05/06 de 4-6 pm (LOCAL DEL PUEBLO), PAGO YAPE: 948 227 636</t>
        </is>
      </c>
      <c r="X351" t="n">
        <v>50</v>
      </c>
      <c r="Y351">
        <f>T351+W351+X351</f>
        <v/>
      </c>
    </row>
    <row r="352" hidden="1" ht="15.75" customHeight="1" s="4">
      <c r="A352" s="3" t="n">
        <v>17246</v>
      </c>
      <c r="B352" s="3" t="inlineStr">
        <is>
          <t>11/04/2026 al 10/05/2026</t>
        </is>
      </c>
      <c r="C352" s="2" t="n">
        <v>46179</v>
      </c>
      <c r="D352" s="2" t="n">
        <v>46174</v>
      </c>
      <c r="E352" s="2" t="n">
        <v>46122</v>
      </c>
      <c r="F352" s="2" t="n">
        <v>46152</v>
      </c>
      <c r="G352" t="inlineStr">
        <is>
          <t>ROGELIO ROSALES CUYA</t>
        </is>
      </c>
      <c r="H352" t="inlineStr">
        <is>
          <t>M</t>
        </is>
      </c>
      <c r="I352" t="inlineStr">
        <is>
          <t>18</t>
        </is>
      </c>
      <c r="J352" t="n">
        <v>18</v>
      </c>
      <c r="K352" t="n">
        <v>19</v>
      </c>
      <c r="L352">
        <f>K352-J352</f>
        <v/>
      </c>
      <c r="M352" t="n">
        <v>5</v>
      </c>
      <c r="O352" t="n">
        <v>5</v>
      </c>
      <c r="P352" t="n">
        <v>8</v>
      </c>
      <c r="S352" t="n">
        <v>3</v>
      </c>
      <c r="T352" s="3">
        <f>SUM(O352:S352)</f>
        <v/>
      </c>
      <c r="U352" s="3">
        <f>IF(P352&lt;8,"USTED ESTÁ AL DÍA","USTED NO ESTÁ AL DÍA")</f>
        <v/>
      </c>
      <c r="V352" s="3" t="inlineStr">
        <is>
          <t>PAGO PRESENCIAL:  05/06 de 4-6 pm (LOCAL DEL PUEBLO), PAGO YAPE: 948 227 636</t>
        </is>
      </c>
      <c r="W352" t="n">
        <v>30</v>
      </c>
      <c r="Y352">
        <f>T352+W352+X352</f>
        <v/>
      </c>
    </row>
    <row r="353" hidden="1" ht="15.75" customHeight="1" s="4">
      <c r="A353" s="3" t="n">
        <v>17247</v>
      </c>
      <c r="B353" s="3" t="inlineStr">
        <is>
          <t>11/04/2026 al 10/05/2026</t>
        </is>
      </c>
      <c r="C353" s="2" t="n">
        <v>46179</v>
      </c>
      <c r="D353" s="2" t="n">
        <v>46174</v>
      </c>
      <c r="E353" s="2" t="n">
        <v>46122</v>
      </c>
      <c r="F353" s="2" t="n">
        <v>46152</v>
      </c>
      <c r="G353" t="inlineStr">
        <is>
          <t>CIRILA QUIJANO MELGAREJO</t>
        </is>
      </c>
      <c r="H353" t="inlineStr">
        <is>
          <t>M</t>
        </is>
      </c>
      <c r="I353" t="inlineStr">
        <is>
          <t>22</t>
        </is>
      </c>
      <c r="J353" t="n">
        <v>66</v>
      </c>
      <c r="K353" t="n">
        <v>86</v>
      </c>
      <c r="L353">
        <f>K353-J353</f>
        <v/>
      </c>
      <c r="M353" t="n">
        <v>20</v>
      </c>
      <c r="N353">
        <f>IF(L353&lt;&gt;M353,1,0)</f>
        <v/>
      </c>
      <c r="O353" t="n">
        <v>20</v>
      </c>
      <c r="P353" t="n">
        <v>24</v>
      </c>
      <c r="R353" t="n">
        <v>25</v>
      </c>
      <c r="S353" t="n">
        <v>3</v>
      </c>
      <c r="T353" s="3">
        <f>SUM(O353:S353)</f>
        <v/>
      </c>
      <c r="U353" s="3">
        <f>IF(P353&lt;8,"USTED ESTÁ AL DÍA","USTED NO ESTÁ AL DÍA")</f>
        <v/>
      </c>
      <c r="V353" s="3" t="inlineStr">
        <is>
          <t>PAGO PRESENCIAL:  05/06 de 4-6 pm (LOCAL DEL PUEBLO), PAGO YAPE: 948 227 636</t>
        </is>
      </c>
      <c r="W353" t="n">
        <v>50</v>
      </c>
      <c r="Y353">
        <f>T353+W353+X353</f>
        <v/>
      </c>
    </row>
    <row r="354" hidden="1" ht="15.75" customHeight="1" s="4">
      <c r="A354" s="3" t="n">
        <v>17248</v>
      </c>
      <c r="B354" s="3" t="inlineStr">
        <is>
          <t>11/04/2026 al 10/05/2026</t>
        </is>
      </c>
      <c r="C354" s="2" t="n">
        <v>46179</v>
      </c>
      <c r="D354" s="2" t="n">
        <v>46174</v>
      </c>
      <c r="E354" s="2" t="n">
        <v>46122</v>
      </c>
      <c r="F354" s="2" t="n">
        <v>46152</v>
      </c>
      <c r="G354" t="inlineStr">
        <is>
          <t>SEGUNDINA EUTOPIA ESPINOZA LOPEZ</t>
        </is>
      </c>
      <c r="H354" t="inlineStr">
        <is>
          <t>M</t>
        </is>
      </c>
      <c r="I354" t="inlineStr">
        <is>
          <t>1</t>
        </is>
      </c>
      <c r="J354" t="n">
        <v>3225</v>
      </c>
      <c r="K354" t="n">
        <v>3251</v>
      </c>
      <c r="L354">
        <f>K354-J354</f>
        <v/>
      </c>
      <c r="M354" t="n">
        <v>26</v>
      </c>
      <c r="N354">
        <f>IF(L354&lt;&gt;M354,1,0)</f>
        <v/>
      </c>
      <c r="O354" t="n">
        <v>26</v>
      </c>
      <c r="S354" t="n">
        <v>3</v>
      </c>
      <c r="T354" s="3">
        <f>SUM(O354:S354)</f>
        <v/>
      </c>
      <c r="U354" s="3">
        <f>IF(P354&lt;8,"USTED ESTÁ AL DÍA","USTED NO ESTÁ AL DÍA")</f>
        <v/>
      </c>
      <c r="V354" s="3" t="inlineStr">
        <is>
          <t>PAGO PRESENCIAL:  05/06 de 4-6 pm (LOCAL DEL PUEBLO), PAGO YAPE: 948 227 636</t>
        </is>
      </c>
      <c r="Y354">
        <f>T354+W354+X354</f>
        <v/>
      </c>
    </row>
    <row r="355" hidden="1" ht="15.75" customHeight="1" s="4">
      <c r="A355" s="3" t="n">
        <v>17249</v>
      </c>
      <c r="B355" s="3" t="inlineStr">
        <is>
          <t>11/04/2026 al 10/05/2026</t>
        </is>
      </c>
      <c r="C355" s="2" t="n">
        <v>46179</v>
      </c>
      <c r="D355" s="2" t="n">
        <v>46174</v>
      </c>
      <c r="E355" s="2" t="n">
        <v>46122</v>
      </c>
      <c r="F355" s="2" t="n">
        <v>46152</v>
      </c>
      <c r="G355" t="inlineStr">
        <is>
          <t>SANTOS LUNA FLORES</t>
        </is>
      </c>
      <c r="H355" t="inlineStr">
        <is>
          <t>M</t>
        </is>
      </c>
      <c r="I355" t="inlineStr">
        <is>
          <t>2</t>
        </is>
      </c>
      <c r="J355" t="n">
        <v>3138</v>
      </c>
      <c r="K355" t="n">
        <v>3151</v>
      </c>
      <c r="L355">
        <f>K355-J355</f>
        <v/>
      </c>
      <c r="M355" t="n">
        <v>13</v>
      </c>
      <c r="N355">
        <f>IF(L355&lt;&gt;M355,1,0)</f>
        <v/>
      </c>
      <c r="O355" t="n">
        <v>13</v>
      </c>
      <c r="S355" t="n">
        <v>3</v>
      </c>
      <c r="T355" s="3">
        <f>SUM(O355:S355)</f>
        <v/>
      </c>
      <c r="U355" s="3">
        <f>IF(P355&lt;8,"USTED ESTÁ AL DÍA","USTED NO ESTÁ AL DÍA")</f>
        <v/>
      </c>
      <c r="V355" s="3" t="inlineStr">
        <is>
          <t>PAGO PRESENCIAL:  05/06 de 4-6 pm (LOCAL DEL PUEBLO), PAGO YAPE: 948 227 636</t>
        </is>
      </c>
      <c r="Y355">
        <f>T355+W355+X355</f>
        <v/>
      </c>
    </row>
    <row r="356" hidden="1" ht="15.75" customHeight="1" s="4">
      <c r="A356" s="3" t="n">
        <v>17250</v>
      </c>
      <c r="B356" s="3" t="inlineStr">
        <is>
          <t>11/04/2026 al 10/05/2026</t>
        </is>
      </c>
      <c r="C356" s="2" t="n">
        <v>46179</v>
      </c>
      <c r="D356" s="2" t="n">
        <v>46174</v>
      </c>
      <c r="E356" s="2" t="n">
        <v>46122</v>
      </c>
      <c r="F356" s="2" t="n">
        <v>46152</v>
      </c>
      <c r="G356" t="inlineStr">
        <is>
          <t>MERCURIO LUNA FLORES</t>
        </is>
      </c>
      <c r="H356" t="inlineStr">
        <is>
          <t>M</t>
        </is>
      </c>
      <c r="I356" t="inlineStr">
        <is>
          <t>3</t>
        </is>
      </c>
      <c r="J356" t="n">
        <v>1182</v>
      </c>
      <c r="K356" t="n">
        <v>1185</v>
      </c>
      <c r="L356">
        <f>K356-J356</f>
        <v/>
      </c>
      <c r="M356" t="n">
        <v>5</v>
      </c>
      <c r="O356" t="n">
        <v>5</v>
      </c>
      <c r="S356" t="n">
        <v>3</v>
      </c>
      <c r="T356" s="3">
        <f>SUM(O356:S356)</f>
        <v/>
      </c>
      <c r="U356" s="3">
        <f>IF(P356&lt;8,"USTED ESTÁ AL DÍA","USTED NO ESTÁ AL DÍA")</f>
        <v/>
      </c>
      <c r="V356" s="3" t="inlineStr">
        <is>
          <t>PAGO PRESENCIAL:  05/06 de 4-6 pm (LOCAL DEL PUEBLO), PAGO YAPE: 948 227 636</t>
        </is>
      </c>
      <c r="X356" t="n">
        <v>50</v>
      </c>
      <c r="Y356">
        <f>T356+W356+X356</f>
        <v/>
      </c>
    </row>
    <row r="357" hidden="1" ht="15.75" customHeight="1" s="4">
      <c r="A357" s="3" t="n">
        <v>17251</v>
      </c>
      <c r="B357" s="3" t="inlineStr">
        <is>
          <t>11/04/2026 al 10/05/2026</t>
        </is>
      </c>
      <c r="C357" s="2" t="n">
        <v>46179</v>
      </c>
      <c r="D357" s="2" t="n">
        <v>46174</v>
      </c>
      <c r="E357" s="2" t="n">
        <v>46122</v>
      </c>
      <c r="F357" s="2" t="n">
        <v>46152</v>
      </c>
      <c r="G357" t="inlineStr">
        <is>
          <t>SILVA DEMETRIO BLAS QUISPE</t>
        </is>
      </c>
      <c r="H357" t="inlineStr">
        <is>
          <t>M</t>
        </is>
      </c>
      <c r="I357" t="inlineStr">
        <is>
          <t>4</t>
        </is>
      </c>
      <c r="J357" t="n">
        <v>21</v>
      </c>
      <c r="K357" t="n">
        <v>30</v>
      </c>
      <c r="L357">
        <f>K357-J357</f>
        <v/>
      </c>
      <c r="M357" t="n">
        <v>9</v>
      </c>
      <c r="N357">
        <f>IF(L357&lt;&gt;M357,1,0)</f>
        <v/>
      </c>
      <c r="O357" t="n">
        <v>9</v>
      </c>
      <c r="S357" t="n">
        <v>3</v>
      </c>
      <c r="T357" s="3">
        <f>SUM(O357:S357)</f>
        <v/>
      </c>
      <c r="U357" s="3">
        <f>IF(P357&lt;8,"USTED ESTÁ AL DÍA","USTED NO ESTÁ AL DÍA")</f>
        <v/>
      </c>
      <c r="V357" s="3" t="inlineStr">
        <is>
          <t>PAGO PRESENCIAL:  05/06 de 4-6 pm (LOCAL DEL PUEBLO), PAGO YAPE: 948 227 636</t>
        </is>
      </c>
      <c r="Y357">
        <f>T357+W357+X357</f>
        <v/>
      </c>
    </row>
    <row r="358" hidden="1" ht="15.75" customHeight="1" s="4">
      <c r="A358" s="3" t="n">
        <v>17252</v>
      </c>
      <c r="B358" s="3" t="inlineStr">
        <is>
          <t>11/04/2026 al 10/05/2026</t>
        </is>
      </c>
      <c r="C358" s="2" t="n">
        <v>46179</v>
      </c>
      <c r="D358" s="2" t="n">
        <v>46174</v>
      </c>
      <c r="E358" s="2" t="n">
        <v>46122</v>
      </c>
      <c r="F358" s="2" t="n">
        <v>46152</v>
      </c>
      <c r="G358" t="inlineStr">
        <is>
          <t>JUANA MAYO SALES</t>
        </is>
      </c>
      <c r="H358" t="inlineStr">
        <is>
          <t>M</t>
        </is>
      </c>
      <c r="I358" t="inlineStr">
        <is>
          <t>5</t>
        </is>
      </c>
      <c r="J358" t="n">
        <v>278</v>
      </c>
      <c r="K358" t="n">
        <v>291</v>
      </c>
      <c r="L358">
        <f>K358-J358</f>
        <v/>
      </c>
      <c r="M358" t="n">
        <v>13</v>
      </c>
      <c r="N358">
        <f>IF(L358&lt;&gt;M358,1,0)</f>
        <v/>
      </c>
      <c r="O358" t="n">
        <v>13</v>
      </c>
      <c r="S358" t="n">
        <v>3</v>
      </c>
      <c r="T358" s="3">
        <f>SUM(O358:S358)</f>
        <v/>
      </c>
      <c r="U358" s="3">
        <f>IF(P358&lt;8,"USTED ESTÁ AL DÍA","USTED NO ESTÁ AL DÍA")</f>
        <v/>
      </c>
      <c r="V358" s="3" t="inlineStr">
        <is>
          <t>PAGO PRESENCIAL:  05/06 de 4-6 pm (LOCAL DEL PUEBLO), PAGO YAPE: 948 227 636</t>
        </is>
      </c>
      <c r="W358" t="n">
        <v>30</v>
      </c>
      <c r="X358" t="n">
        <v>50</v>
      </c>
      <c r="Y358">
        <f>T358+W358+X358</f>
        <v/>
      </c>
    </row>
    <row r="359" hidden="1" ht="15.75" customHeight="1" s="4">
      <c r="A359" s="3" t="n">
        <v>17253</v>
      </c>
      <c r="B359" s="3" t="inlineStr">
        <is>
          <t>11/04/2026 al 10/05/2026</t>
        </is>
      </c>
      <c r="C359" s="2" t="n">
        <v>46179</v>
      </c>
      <c r="D359" s="2" t="n">
        <v>46174</v>
      </c>
      <c r="E359" s="2" t="n">
        <v>46122</v>
      </c>
      <c r="F359" s="2" t="n">
        <v>46152</v>
      </c>
      <c r="G359" t="inlineStr">
        <is>
          <t>LUCILA SALES ESTRADA</t>
        </is>
      </c>
      <c r="H359" t="inlineStr">
        <is>
          <t>M</t>
        </is>
      </c>
      <c r="I359" t="inlineStr">
        <is>
          <t>6</t>
        </is>
      </c>
      <c r="J359" t="n">
        <v>3967</v>
      </c>
      <c r="K359" t="n">
        <v>3985</v>
      </c>
      <c r="L359">
        <f>K359-J359</f>
        <v/>
      </c>
      <c r="M359" t="n">
        <v>18</v>
      </c>
      <c r="N359">
        <f>IF(L359&lt;&gt;M359,1,0)</f>
        <v/>
      </c>
      <c r="O359" t="n">
        <v>18</v>
      </c>
      <c r="S359" t="n">
        <v>3</v>
      </c>
      <c r="T359" s="3">
        <f>SUM(O359:S359)</f>
        <v/>
      </c>
      <c r="U359" s="3">
        <f>IF(P359&lt;8,"USTED ESTÁ AL DÍA","USTED NO ESTÁ AL DÍA")</f>
        <v/>
      </c>
      <c r="V359" s="3" t="inlineStr">
        <is>
          <t>PAGO PRESENCIAL:  05/06 de 4-6 pm (LOCAL DEL PUEBLO), PAGO YAPE: 948 227 636</t>
        </is>
      </c>
      <c r="W359" t="n">
        <v>30</v>
      </c>
      <c r="Y359">
        <f>T359+W359+X359</f>
        <v/>
      </c>
    </row>
    <row r="360" hidden="1" ht="15.75" customHeight="1" s="4">
      <c r="A360" s="3" t="n">
        <v>17254</v>
      </c>
      <c r="B360" s="3" t="inlineStr">
        <is>
          <t>11/04/2026 al 10/05/2026</t>
        </is>
      </c>
      <c r="C360" s="2" t="n">
        <v>46179</v>
      </c>
      <c r="D360" s="2" t="n">
        <v>46174</v>
      </c>
      <c r="E360" s="2" t="n">
        <v>46122</v>
      </c>
      <c r="F360" s="2" t="n">
        <v>46152</v>
      </c>
      <c r="G360" t="inlineStr">
        <is>
          <t>ROSA LOPEZ CERNA</t>
        </is>
      </c>
      <c r="H360" t="inlineStr">
        <is>
          <t>M</t>
        </is>
      </c>
      <c r="I360" t="inlineStr">
        <is>
          <t>8</t>
        </is>
      </c>
      <c r="J360" t="n">
        <v>148</v>
      </c>
      <c r="K360" t="n">
        <v>158</v>
      </c>
      <c r="L360">
        <f>K360-J360</f>
        <v/>
      </c>
      <c r="M360" t="n">
        <v>10</v>
      </c>
      <c r="N360">
        <f>IF(L360&lt;&gt;M360,1,0)</f>
        <v/>
      </c>
      <c r="O360" t="n">
        <v>10</v>
      </c>
      <c r="S360" t="n">
        <v>3</v>
      </c>
      <c r="T360" s="3">
        <f>SUM(O360:S360)</f>
        <v/>
      </c>
      <c r="U360" s="3">
        <f>IF(P360&lt;8,"USTED ESTÁ AL DÍA","USTED NO ESTÁ AL DÍA")</f>
        <v/>
      </c>
      <c r="V360" s="3" t="inlineStr">
        <is>
          <t>PAGO PRESENCIAL:  05/06 de 4-6 pm (LOCAL DEL PUEBLO), PAGO YAPE: 948 227 636</t>
        </is>
      </c>
      <c r="W360" t="n">
        <v>30</v>
      </c>
      <c r="Y360">
        <f>T360+W360+X360</f>
        <v/>
      </c>
    </row>
    <row r="361" hidden="1" ht="15.75" customHeight="1" s="4">
      <c r="A361" s="3" t="n">
        <v>17255</v>
      </c>
      <c r="B361" s="3" t="inlineStr">
        <is>
          <t>11/04/2026 al 10/05/2026</t>
        </is>
      </c>
      <c r="C361" s="2" t="n">
        <v>46179</v>
      </c>
      <c r="D361" s="2" t="n">
        <v>46174</v>
      </c>
      <c r="E361" s="2" t="n">
        <v>46122</v>
      </c>
      <c r="F361" s="2" t="n">
        <v>46152</v>
      </c>
      <c r="G361" t="inlineStr">
        <is>
          <t>LEONCIO CASTILLEJO CAPCHA</t>
        </is>
      </c>
      <c r="H361" t="inlineStr">
        <is>
          <t>M</t>
        </is>
      </c>
      <c r="I361" t="inlineStr">
        <is>
          <t>11</t>
        </is>
      </c>
      <c r="J361" t="n">
        <v>4</v>
      </c>
      <c r="K361" t="n">
        <v>7</v>
      </c>
      <c r="L361">
        <f>K361-J361</f>
        <v/>
      </c>
      <c r="M361" t="n">
        <v>5</v>
      </c>
      <c r="O361" t="n">
        <v>5</v>
      </c>
      <c r="S361" t="n">
        <v>3</v>
      </c>
      <c r="T361" s="3">
        <f>SUM(O361:S361)</f>
        <v/>
      </c>
      <c r="U361" s="3">
        <f>IF(P361&lt;8,"USTED ESTÁ AL DÍA","USTED NO ESTÁ AL DÍA")</f>
        <v/>
      </c>
      <c r="V361" s="3" t="inlineStr">
        <is>
          <t>PAGO PRESENCIAL:  05/06 de 4-6 pm (LOCAL DEL PUEBLO), PAGO YAPE: 948 227 636</t>
        </is>
      </c>
      <c r="Y361">
        <f>T361+W361+X361</f>
        <v/>
      </c>
    </row>
    <row r="362" hidden="1" ht="15.75" customHeight="1" s="4">
      <c r="A362" s="3" t="n">
        <v>17256</v>
      </c>
      <c r="B362" s="3" t="inlineStr">
        <is>
          <t>11/04/2026 al 10/05/2026</t>
        </is>
      </c>
      <c r="C362" s="2" t="n">
        <v>46179</v>
      </c>
      <c r="D362" s="2" t="n">
        <v>46174</v>
      </c>
      <c r="E362" s="2" t="n">
        <v>46122</v>
      </c>
      <c r="F362" s="2" t="n">
        <v>46152</v>
      </c>
      <c r="G362" t="inlineStr">
        <is>
          <t>ROSA JUANA MINAYA VILLANUEVA DE VASQUEZ</t>
        </is>
      </c>
      <c r="H362" t="inlineStr">
        <is>
          <t>M</t>
        </is>
      </c>
      <c r="I362" t="inlineStr">
        <is>
          <t>13</t>
        </is>
      </c>
      <c r="J362" t="n">
        <v>99987</v>
      </c>
      <c r="K362" t="n">
        <v>99993</v>
      </c>
      <c r="L362">
        <f>K362-J362</f>
        <v/>
      </c>
      <c r="M362" t="n">
        <v>6</v>
      </c>
      <c r="N362">
        <f>IF(L362&lt;&gt;M362,1,0)</f>
        <v/>
      </c>
      <c r="O362" t="n">
        <v>6</v>
      </c>
      <c r="S362" t="n">
        <v>3</v>
      </c>
      <c r="T362" s="3">
        <f>SUM(O362:S362)</f>
        <v/>
      </c>
      <c r="U362" s="3">
        <f>IF(P362&lt;8,"USTED ESTÁ AL DÍA","USTED NO ESTÁ AL DÍA")</f>
        <v/>
      </c>
      <c r="V362" s="3" t="inlineStr">
        <is>
          <t>PAGO PRESENCIAL:  05/06 de 4-6 pm (LOCAL DEL PUEBLO), PAGO YAPE: 948 227 636</t>
        </is>
      </c>
      <c r="W362" t="n">
        <v>30</v>
      </c>
      <c r="X362" t="n">
        <v>75</v>
      </c>
      <c r="Y362">
        <f>T362+W362+X362</f>
        <v/>
      </c>
    </row>
    <row r="363" hidden="1" ht="15.75" customHeight="1" s="4">
      <c r="A363" s="3" t="n">
        <v>17257</v>
      </c>
      <c r="B363" s="3" t="inlineStr">
        <is>
          <t>11/04/2026 al 10/05/2026</t>
        </is>
      </c>
      <c r="C363" s="2" t="n">
        <v>46179</v>
      </c>
      <c r="D363" s="2" t="n">
        <v>46174</v>
      </c>
      <c r="E363" s="2" t="n">
        <v>46122</v>
      </c>
      <c r="F363" s="2" t="n">
        <v>46152</v>
      </c>
      <c r="G363" t="inlineStr">
        <is>
          <t>MAGDA MARIA BLAS MORALES</t>
        </is>
      </c>
      <c r="H363" t="inlineStr">
        <is>
          <t>M</t>
        </is>
      </c>
      <c r="I363" t="inlineStr">
        <is>
          <t>14</t>
        </is>
      </c>
      <c r="J363" t="n">
        <v>16</v>
      </c>
      <c r="K363" t="n">
        <v>23</v>
      </c>
      <c r="L363">
        <f>K363-J363</f>
        <v/>
      </c>
      <c r="M363" t="n">
        <v>7</v>
      </c>
      <c r="N363">
        <f>IF(L363&lt;&gt;M363,1,0)</f>
        <v/>
      </c>
      <c r="O363" t="n">
        <v>7</v>
      </c>
      <c r="R363" t="n">
        <v>25</v>
      </c>
      <c r="S363" t="n">
        <v>3</v>
      </c>
      <c r="T363" s="3">
        <f>SUM(O363:S363)</f>
        <v/>
      </c>
      <c r="U363" s="3">
        <f>IF(P363&lt;8,"USTED ESTÁ AL DÍA","USTED NO ESTÁ AL DÍA")</f>
        <v/>
      </c>
      <c r="V363" s="3" t="inlineStr">
        <is>
          <t>PAGO PRESENCIAL:  05/06 de 4-6 pm (LOCAL DEL PUEBLO), PAGO YAPE: 948 227 636</t>
        </is>
      </c>
      <c r="Y363">
        <f>T363+W363+X363</f>
        <v/>
      </c>
    </row>
    <row r="364" hidden="1" ht="15.75" customHeight="1" s="4">
      <c r="A364" s="3" t="n">
        <v>17258</v>
      </c>
      <c r="B364" s="3" t="inlineStr">
        <is>
          <t>11/04/2026 al 10/05/2026</t>
        </is>
      </c>
      <c r="C364" s="2" t="n">
        <v>46179</v>
      </c>
      <c r="D364" s="2" t="n">
        <v>46174</v>
      </c>
      <c r="E364" s="2" t="n">
        <v>46122</v>
      </c>
      <c r="F364" s="2" t="n">
        <v>46152</v>
      </c>
      <c r="G364" t="inlineStr">
        <is>
          <t>FELICIANA REQUEZ PAJUELO</t>
        </is>
      </c>
      <c r="H364" t="inlineStr">
        <is>
          <t>M</t>
        </is>
      </c>
      <c r="I364" t="inlineStr">
        <is>
          <t>15</t>
        </is>
      </c>
      <c r="J364" t="n">
        <v>98</v>
      </c>
      <c r="K364" t="n">
        <v>101</v>
      </c>
      <c r="L364">
        <f>K364-J364</f>
        <v/>
      </c>
      <c r="M364" t="n">
        <v>5</v>
      </c>
      <c r="O364" t="n">
        <v>5</v>
      </c>
      <c r="S364" t="n">
        <v>3</v>
      </c>
      <c r="T364" s="3">
        <f>SUM(O364:S364)</f>
        <v/>
      </c>
      <c r="U364" s="3">
        <f>IF(P364&lt;8,"USTED ESTÁ AL DÍA","USTED NO ESTÁ AL DÍA")</f>
        <v/>
      </c>
      <c r="V364" s="3" t="inlineStr">
        <is>
          <t>PAGO PRESENCIAL:  05/06 de 4-6 pm (LOCAL DEL PUEBLO), PAGO YAPE: 948 227 636</t>
        </is>
      </c>
      <c r="W364" t="n">
        <v>30</v>
      </c>
      <c r="Y364">
        <f>T364+W364+X364</f>
        <v/>
      </c>
    </row>
    <row r="365" hidden="1" ht="15.75" customHeight="1" s="4">
      <c r="A365" s="3" t="n">
        <v>17259</v>
      </c>
      <c r="B365" s="3" t="inlineStr">
        <is>
          <t>11/04/2026 al 10/05/2026</t>
        </is>
      </c>
      <c r="C365" s="2" t="n">
        <v>46179</v>
      </c>
      <c r="D365" s="2" t="n">
        <v>46174</v>
      </c>
      <c r="E365" s="2" t="n">
        <v>46122</v>
      </c>
      <c r="F365" s="2" t="n">
        <v>46152</v>
      </c>
      <c r="G365" t="inlineStr">
        <is>
          <t>HUGO MANUEL TAFUR LOPEZ</t>
        </is>
      </c>
      <c r="H365" t="inlineStr">
        <is>
          <t>M</t>
        </is>
      </c>
      <c r="I365" t="inlineStr">
        <is>
          <t>16</t>
        </is>
      </c>
      <c r="J365" t="n">
        <v>91</v>
      </c>
      <c r="K365" t="n">
        <v>96</v>
      </c>
      <c r="L365">
        <f>K365-J365</f>
        <v/>
      </c>
      <c r="M365" t="n">
        <v>5</v>
      </c>
      <c r="O365" t="n">
        <v>5</v>
      </c>
      <c r="S365" t="n">
        <v>3</v>
      </c>
      <c r="T365" s="3">
        <f>SUM(O365:S365)</f>
        <v/>
      </c>
      <c r="U365" s="3">
        <f>IF(P365&lt;8,"USTED ESTÁ AL DÍA","USTED NO ESTÁ AL DÍA")</f>
        <v/>
      </c>
      <c r="V365" s="3" t="inlineStr">
        <is>
          <t>PAGO PRESENCIAL:  05/06 de 4-6 pm (LOCAL DEL PUEBLO), PAGO YAPE: 948 227 636</t>
        </is>
      </c>
      <c r="X365" t="n">
        <v>75</v>
      </c>
      <c r="Y365">
        <f>T365+W365+X365</f>
        <v/>
      </c>
    </row>
    <row r="366" hidden="1" ht="15.75" customHeight="1" s="4">
      <c r="A366" s="3" t="n">
        <v>17260</v>
      </c>
      <c r="B366" s="3" t="inlineStr">
        <is>
          <t>11/04/2026 al 10/05/2026</t>
        </is>
      </c>
      <c r="C366" s="2" t="n">
        <v>46179</v>
      </c>
      <c r="D366" s="2" t="n">
        <v>46174</v>
      </c>
      <c r="E366" s="2" t="n">
        <v>46122</v>
      </c>
      <c r="F366" s="2" t="n">
        <v>46152</v>
      </c>
      <c r="G366" t="inlineStr">
        <is>
          <t>RAUL BLAS QUISPE</t>
        </is>
      </c>
      <c r="H366" t="inlineStr">
        <is>
          <t>M</t>
        </is>
      </c>
      <c r="I366" t="inlineStr">
        <is>
          <t>17</t>
        </is>
      </c>
      <c r="J366" t="n">
        <v>18</v>
      </c>
      <c r="K366" t="n">
        <v>19</v>
      </c>
      <c r="L366">
        <f>K366-J366</f>
        <v/>
      </c>
      <c r="M366" t="n">
        <v>5</v>
      </c>
      <c r="O366" t="n">
        <v>5</v>
      </c>
      <c r="S366" t="n">
        <v>3</v>
      </c>
      <c r="T366" s="3">
        <f>SUM(O366:S366)</f>
        <v/>
      </c>
      <c r="U366" s="3">
        <f>IF(P366&lt;8,"USTED ESTÁ AL DÍA","USTED NO ESTÁ AL DÍA")</f>
        <v/>
      </c>
      <c r="V366" s="3" t="inlineStr">
        <is>
          <t>PAGO PRESENCIAL:  05/06 de 4-6 pm (LOCAL DEL PUEBLO), PAGO YAPE: 948 227 636</t>
        </is>
      </c>
      <c r="W366" t="n">
        <v>30</v>
      </c>
      <c r="Y366">
        <f>T366+W366+X366</f>
        <v/>
      </c>
    </row>
    <row r="367" hidden="1" ht="15.75" customHeight="1" s="4">
      <c r="A367" s="3" t="n">
        <v>17261</v>
      </c>
      <c r="B367" s="3" t="inlineStr">
        <is>
          <t>11/04/2026 al 10/05/2026</t>
        </is>
      </c>
      <c r="C367" s="2" t="n">
        <v>46179</v>
      </c>
      <c r="D367" s="2" t="n">
        <v>46174</v>
      </c>
      <c r="E367" s="2" t="n">
        <v>46122</v>
      </c>
      <c r="F367" s="2" t="n">
        <v>46152</v>
      </c>
      <c r="G367" t="inlineStr">
        <is>
          <t>ANDRES QUITO RODRIGUEZ</t>
        </is>
      </c>
      <c r="H367" t="inlineStr">
        <is>
          <t>M</t>
        </is>
      </c>
      <c r="I367" t="inlineStr">
        <is>
          <t>19</t>
        </is>
      </c>
      <c r="J367" t="n">
        <v>52</v>
      </c>
      <c r="K367" t="n">
        <v>71</v>
      </c>
      <c r="L367">
        <f>K367-J367</f>
        <v/>
      </c>
      <c r="M367" t="n">
        <v>19</v>
      </c>
      <c r="N367">
        <f>IF(L367&lt;&gt;M367,1,0)</f>
        <v/>
      </c>
      <c r="O367" t="n">
        <v>19</v>
      </c>
      <c r="R367" t="n">
        <v>25</v>
      </c>
      <c r="S367" t="n">
        <v>3</v>
      </c>
      <c r="T367" s="3">
        <f>SUM(O367:S367)</f>
        <v/>
      </c>
      <c r="U367" s="3">
        <f>IF(P367&lt;8,"USTED ESTÁ AL DÍA","USTED NO ESTÁ AL DÍA")</f>
        <v/>
      </c>
      <c r="V367" s="3" t="inlineStr">
        <is>
          <t>PAGO PRESENCIAL:  05/06 de 4-6 pm (LOCAL DEL PUEBLO), PAGO YAPE: 948 227 636</t>
        </is>
      </c>
      <c r="X367" t="n">
        <v>75</v>
      </c>
      <c r="Y367">
        <f>T367+W367+X367</f>
        <v/>
      </c>
    </row>
    <row r="368" hidden="1" ht="15.75" customHeight="1" s="4">
      <c r="A368" s="3" t="n">
        <v>17262</v>
      </c>
      <c r="B368" s="3" t="inlineStr">
        <is>
          <t>11/04/2026 al 10/05/2026</t>
        </is>
      </c>
      <c r="C368" s="2" t="n">
        <v>46179</v>
      </c>
      <c r="D368" s="2" t="n">
        <v>46174</v>
      </c>
      <c r="E368" s="2" t="n">
        <v>46122</v>
      </c>
      <c r="F368" s="2" t="n">
        <v>46152</v>
      </c>
      <c r="G368" t="inlineStr">
        <is>
          <t>JOSE SOLORZANO ESTRADA</t>
        </is>
      </c>
      <c r="H368" t="inlineStr">
        <is>
          <t>M</t>
        </is>
      </c>
      <c r="I368" t="inlineStr">
        <is>
          <t>20</t>
        </is>
      </c>
      <c r="J368" t="n">
        <v>56</v>
      </c>
      <c r="K368" t="n">
        <v>77</v>
      </c>
      <c r="L368">
        <f>K368-J368</f>
        <v/>
      </c>
      <c r="M368" t="n">
        <v>21</v>
      </c>
      <c r="N368">
        <f>IF(L368&lt;&gt;M368,1,0)</f>
        <v/>
      </c>
      <c r="O368" t="n">
        <v>21</v>
      </c>
      <c r="S368" t="n">
        <v>3</v>
      </c>
      <c r="T368" s="3">
        <f>SUM(O368:S368)</f>
        <v/>
      </c>
      <c r="U368" s="3">
        <f>IF(P368&lt;8,"USTED ESTÁ AL DÍA","USTED NO ESTÁ AL DÍA")</f>
        <v/>
      </c>
      <c r="V368" s="3" t="inlineStr">
        <is>
          <t>PAGO PRESENCIAL:  05/06 de 4-6 pm (LOCAL DEL PUEBLO), PAGO YAPE: 948 227 636</t>
        </is>
      </c>
      <c r="Y368">
        <f>T368+W368+X368</f>
        <v/>
      </c>
    </row>
    <row r="369" hidden="1" ht="15.75" customHeight="1" s="4">
      <c r="A369" s="3" t="n">
        <v>17263</v>
      </c>
      <c r="B369" s="3" t="inlineStr">
        <is>
          <t>11/04/2026 al 10/05/2026</t>
        </is>
      </c>
      <c r="C369" s="2" t="n">
        <v>46179</v>
      </c>
      <c r="D369" s="2" t="n">
        <v>46174</v>
      </c>
      <c r="E369" s="2" t="n">
        <v>46122</v>
      </c>
      <c r="F369" s="2" t="n">
        <v>46152</v>
      </c>
      <c r="G369" t="inlineStr">
        <is>
          <t>CARLOS PEREZ RAMIRES</t>
        </is>
      </c>
      <c r="H369" t="inlineStr">
        <is>
          <t>M</t>
        </is>
      </c>
      <c r="I369" t="inlineStr">
        <is>
          <t>21</t>
        </is>
      </c>
      <c r="J369" t="n">
        <v>70</v>
      </c>
      <c r="K369" t="n">
        <v>89</v>
      </c>
      <c r="L369">
        <f>K369-J369</f>
        <v/>
      </c>
      <c r="M369" t="n">
        <v>19</v>
      </c>
      <c r="N369">
        <f>IF(L369&lt;&gt;M369,1,0)</f>
        <v/>
      </c>
      <c r="O369" t="n">
        <v>19</v>
      </c>
      <c r="R369" t="n">
        <v>25</v>
      </c>
      <c r="S369" t="n">
        <v>3</v>
      </c>
      <c r="T369" s="3">
        <f>SUM(O369:S369)</f>
        <v/>
      </c>
      <c r="U369" s="3">
        <f>IF(P369&lt;8,"USTED ESTÁ AL DÍA","USTED NO ESTÁ AL DÍA")</f>
        <v/>
      </c>
      <c r="V369" s="3" t="inlineStr">
        <is>
          <t>PAGO PRESENCIAL:  05/06 de 4-6 pm (LOCAL DEL PUEBLO), PAGO YAPE: 948 227 636</t>
        </is>
      </c>
      <c r="Y369">
        <f>T369+W369+X369</f>
        <v/>
      </c>
    </row>
    <row r="370" hidden="1" ht="15.75" customHeight="1" s="4">
      <c r="A370" s="3" t="n">
        <v>17264</v>
      </c>
      <c r="B370" s="3" t="inlineStr">
        <is>
          <t>11/04/2026 al 10/05/2026</t>
        </is>
      </c>
      <c r="C370" s="2" t="n">
        <v>46179</v>
      </c>
      <c r="D370" s="2" t="n">
        <v>46174</v>
      </c>
      <c r="E370" s="2" t="n">
        <v>46122</v>
      </c>
      <c r="F370" s="2" t="n">
        <v>46152</v>
      </c>
      <c r="G370" t="inlineStr">
        <is>
          <t>IGLESIA EVANGELICA BAUTISTA</t>
        </is>
      </c>
      <c r="H370" t="inlineStr">
        <is>
          <t>M</t>
        </is>
      </c>
      <c r="I370" t="inlineStr">
        <is>
          <t>12</t>
        </is>
      </c>
      <c r="L370">
        <f>K370-J370</f>
        <v/>
      </c>
      <c r="S370" t="n">
        <v>0</v>
      </c>
      <c r="T370" s="3">
        <f>SUM(O370:S370)</f>
        <v/>
      </c>
      <c r="U370" s="3">
        <f>IF(P370&lt;8,"USTED ESTÁ AL DÍA","USTED NO ESTÁ AL DÍA")</f>
        <v/>
      </c>
      <c r="V370" s="3" t="inlineStr">
        <is>
          <t>PAGO PRESENCIAL:  05/06 de 4-6 pm (LOCAL DEL PUEBLO), PAGO YAPE: 948 227 636</t>
        </is>
      </c>
      <c r="Y370">
        <f>T370+W370+X370</f>
        <v/>
      </c>
    </row>
    <row r="371" hidden="1" ht="15.75" customHeight="1" s="4">
      <c r="A371" s="3" t="n">
        <v>17265</v>
      </c>
      <c r="B371" s="3" t="inlineStr">
        <is>
          <t>11/04/2026 al 10/05/2026</t>
        </is>
      </c>
      <c r="C371" s="2" t="n">
        <v>46179</v>
      </c>
      <c r="D371" s="2" t="n">
        <v>46174</v>
      </c>
      <c r="E371" s="2" t="n">
        <v>46122</v>
      </c>
      <c r="F371" s="2" t="n">
        <v>46152</v>
      </c>
      <c r="G371" t="inlineStr">
        <is>
          <t>RAMON ROSALES MENACHO</t>
        </is>
      </c>
      <c r="H371" t="inlineStr">
        <is>
          <t>N</t>
        </is>
      </c>
      <c r="I371" t="inlineStr">
        <is>
          <t>1</t>
        </is>
      </c>
      <c r="J371" t="n">
        <v>49</v>
      </c>
      <c r="K371" t="n">
        <v>67</v>
      </c>
      <c r="L371">
        <f>K371-J371</f>
        <v/>
      </c>
      <c r="M371" t="n">
        <v>18</v>
      </c>
      <c r="N371">
        <f>IF(L371&lt;&gt;M371,1,0)</f>
        <v/>
      </c>
      <c r="O371" t="n">
        <v>18</v>
      </c>
      <c r="P371" t="n">
        <v>25</v>
      </c>
      <c r="R371" t="n">
        <v>25</v>
      </c>
      <c r="S371" t="n">
        <v>3</v>
      </c>
      <c r="T371" s="3">
        <f>SUM(O371:S371)</f>
        <v/>
      </c>
      <c r="U371" s="3">
        <f>IF(P371&lt;8,"USTED ESTÁ AL DÍA","USTED NO ESTÁ AL DÍA")</f>
        <v/>
      </c>
      <c r="V371" s="3" t="inlineStr">
        <is>
          <t>PAGO PRESENCIAL:  05/06 de 4-6 pm (LOCAL DEL PUEBLO), PAGO YAPE: 948 227 636</t>
        </is>
      </c>
      <c r="W371" t="n">
        <v>50</v>
      </c>
      <c r="X371" t="n">
        <v>50</v>
      </c>
      <c r="Y371">
        <f>T371+W371+X371</f>
        <v/>
      </c>
    </row>
    <row r="372" hidden="1" ht="15.75" customHeight="1" s="4">
      <c r="A372" s="3" t="n">
        <v>17266</v>
      </c>
      <c r="B372" s="3" t="inlineStr">
        <is>
          <t>11/04/2026 al 10/05/2026</t>
        </is>
      </c>
      <c r="C372" s="2" t="n">
        <v>46179</v>
      </c>
      <c r="D372" s="2" t="n">
        <v>46174</v>
      </c>
      <c r="E372" s="2" t="n">
        <v>46122</v>
      </c>
      <c r="F372" s="2" t="n">
        <v>46152</v>
      </c>
      <c r="G372" t="inlineStr">
        <is>
          <t>MATEO ALEJANDRO CACHA SANTOS</t>
        </is>
      </c>
      <c r="H372" t="inlineStr">
        <is>
          <t>N</t>
        </is>
      </c>
      <c r="I372" t="inlineStr">
        <is>
          <t>2</t>
        </is>
      </c>
      <c r="J372" t="n">
        <v>60</v>
      </c>
      <c r="K372" t="n">
        <v>82</v>
      </c>
      <c r="L372">
        <f>K372-J372</f>
        <v/>
      </c>
      <c r="M372" t="n">
        <v>22</v>
      </c>
      <c r="N372">
        <f>IF(L372&lt;&gt;M372,1,0)</f>
        <v/>
      </c>
      <c r="O372" t="n">
        <v>22</v>
      </c>
      <c r="R372" t="n">
        <v>25</v>
      </c>
      <c r="S372" t="n">
        <v>3</v>
      </c>
      <c r="T372" s="3">
        <f>SUM(O372:S372)</f>
        <v/>
      </c>
      <c r="U372" s="3">
        <f>IF(P372&lt;8,"USTED ESTÁ AL DÍA","USTED NO ESTÁ AL DÍA")</f>
        <v/>
      </c>
      <c r="V372" s="3" t="inlineStr">
        <is>
          <t>PAGO PRESENCIAL:  05/06 de 4-6 pm (LOCAL DEL PUEBLO), PAGO YAPE: 948 227 636</t>
        </is>
      </c>
      <c r="Y372">
        <f>T372+W372+X372</f>
        <v/>
      </c>
    </row>
    <row r="373" hidden="1" ht="15.75" customHeight="1" s="4">
      <c r="A373" s="3" t="n">
        <v>17267</v>
      </c>
      <c r="B373" s="3" t="inlineStr">
        <is>
          <t>11/04/2026 al 10/05/2026</t>
        </is>
      </c>
      <c r="C373" s="2" t="n">
        <v>46179</v>
      </c>
      <c r="D373" s="2" t="n">
        <v>46174</v>
      </c>
      <c r="E373" s="2" t="n">
        <v>46122</v>
      </c>
      <c r="F373" s="2" t="n">
        <v>46152</v>
      </c>
      <c r="G373" t="inlineStr">
        <is>
          <t>ANGELICA TOLENTINO SANCHEZ</t>
        </is>
      </c>
      <c r="H373" t="inlineStr">
        <is>
          <t>N</t>
        </is>
      </c>
      <c r="I373" t="inlineStr">
        <is>
          <t>3</t>
        </is>
      </c>
      <c r="J373" t="n">
        <v>12</v>
      </c>
      <c r="K373" t="n">
        <v>23</v>
      </c>
      <c r="L373">
        <f>K373-J373</f>
        <v/>
      </c>
      <c r="M373" t="n">
        <v>11</v>
      </c>
      <c r="N373">
        <f>IF(L373&lt;&gt;M373,1,0)</f>
        <v/>
      </c>
      <c r="O373" t="n">
        <v>11</v>
      </c>
      <c r="R373" t="n">
        <v>25</v>
      </c>
      <c r="S373" t="n">
        <v>3</v>
      </c>
      <c r="T373" s="3">
        <f>SUM(O373:S373)</f>
        <v/>
      </c>
      <c r="U373" s="3">
        <f>IF(P373&lt;8,"USTED ESTÁ AL DÍA","USTED NO ESTÁ AL DÍA")</f>
        <v/>
      </c>
      <c r="V373" s="3" t="inlineStr">
        <is>
          <t>PAGO PRESENCIAL:  05/06 de 4-6 pm (LOCAL DEL PUEBLO), PAGO YAPE: 948 227 636</t>
        </is>
      </c>
      <c r="X373" t="n">
        <v>75</v>
      </c>
      <c r="Y373">
        <f>T373+W373+X373</f>
        <v/>
      </c>
    </row>
    <row r="374" hidden="1" ht="15.75" customHeight="1" s="4">
      <c r="A374" s="3" t="n">
        <v>17268</v>
      </c>
      <c r="B374" s="3" t="inlineStr">
        <is>
          <t>11/04/2026 al 10/05/2026</t>
        </is>
      </c>
      <c r="C374" s="2" t="n">
        <v>46179</v>
      </c>
      <c r="D374" s="2" t="n">
        <v>46174</v>
      </c>
      <c r="E374" s="2" t="n">
        <v>46122</v>
      </c>
      <c r="F374" s="2" t="n">
        <v>46152</v>
      </c>
      <c r="G374" t="inlineStr">
        <is>
          <t>LINDA CARMEN AGURTO SANCHEZ</t>
        </is>
      </c>
      <c r="H374" t="inlineStr">
        <is>
          <t>N</t>
        </is>
      </c>
      <c r="I374" t="inlineStr">
        <is>
          <t>4</t>
        </is>
      </c>
      <c r="J374" t="n">
        <v>169</v>
      </c>
      <c r="K374" t="n">
        <v>174</v>
      </c>
      <c r="L374">
        <f>K374-J374</f>
        <v/>
      </c>
      <c r="M374" t="n">
        <v>5</v>
      </c>
      <c r="O374" t="n">
        <v>5</v>
      </c>
      <c r="S374" t="n">
        <v>3</v>
      </c>
      <c r="T374" s="3">
        <f>SUM(O374:S374)</f>
        <v/>
      </c>
      <c r="U374" s="3">
        <f>IF(P374&lt;8,"USTED ESTÁ AL DÍA","USTED NO ESTÁ AL DÍA")</f>
        <v/>
      </c>
      <c r="V374" s="3" t="inlineStr">
        <is>
          <t>PAGO PRESENCIAL:  05/06 de 4-6 pm (LOCAL DEL PUEBLO), PAGO YAPE: 948 227 636</t>
        </is>
      </c>
      <c r="X374" t="n">
        <v>50</v>
      </c>
      <c r="Y374">
        <f>T374+W374+X374</f>
        <v/>
      </c>
    </row>
    <row r="375" hidden="1" ht="15.75" customHeight="1" s="4">
      <c r="A375" s="3" t="n">
        <v>17269</v>
      </c>
      <c r="B375" s="3" t="inlineStr">
        <is>
          <t>11/04/2026 al 10/05/2026</t>
        </is>
      </c>
      <c r="C375" s="2" t="n">
        <v>46179</v>
      </c>
      <c r="D375" s="2" t="n">
        <v>46174</v>
      </c>
      <c r="E375" s="2" t="n">
        <v>46122</v>
      </c>
      <c r="F375" s="2" t="n">
        <v>46152</v>
      </c>
      <c r="G375" t="inlineStr">
        <is>
          <t>DAVID JUAREZ TOLEDO</t>
        </is>
      </c>
      <c r="H375" t="inlineStr">
        <is>
          <t>N</t>
        </is>
      </c>
      <c r="I375" t="inlineStr">
        <is>
          <t>6</t>
        </is>
      </c>
      <c r="J375" t="n">
        <v>806</v>
      </c>
      <c r="K375" t="n">
        <v>832</v>
      </c>
      <c r="L375">
        <f>K375-J375</f>
        <v/>
      </c>
      <c r="M375" t="n">
        <v>26</v>
      </c>
      <c r="N375">
        <f>IF(L375&lt;&gt;M375,1,0)</f>
        <v/>
      </c>
      <c r="O375" t="n">
        <v>26</v>
      </c>
      <c r="S375" t="n">
        <v>3</v>
      </c>
      <c r="T375" s="3">
        <f>SUM(O375:S375)</f>
        <v/>
      </c>
      <c r="U375" s="3">
        <f>IF(P375&lt;8,"USTED ESTÁ AL DÍA","USTED NO ESTÁ AL DÍA")</f>
        <v/>
      </c>
      <c r="V375" s="3" t="inlineStr">
        <is>
          <t>PAGO PRESENCIAL:  05/06 de 4-6 pm (LOCAL DEL PUEBLO), PAGO YAPE: 948 227 636</t>
        </is>
      </c>
      <c r="W375" t="n">
        <v>20</v>
      </c>
      <c r="X375" t="n">
        <v>50</v>
      </c>
      <c r="Y375">
        <f>T375+W375+X375</f>
        <v/>
      </c>
    </row>
    <row r="376" hidden="1" ht="15.75" customHeight="1" s="4">
      <c r="A376" s="3" t="n">
        <v>17270</v>
      </c>
      <c r="B376" s="3" t="inlineStr">
        <is>
          <t>11/04/2026 al 10/05/2026</t>
        </is>
      </c>
      <c r="C376" s="2" t="n">
        <v>46179</v>
      </c>
      <c r="D376" s="2" t="n">
        <v>46174</v>
      </c>
      <c r="E376" s="2" t="n">
        <v>46122</v>
      </c>
      <c r="F376" s="2" t="n">
        <v>46152</v>
      </c>
      <c r="G376" t="inlineStr">
        <is>
          <t>I.E 20902</t>
        </is>
      </c>
      <c r="H376" t="inlineStr">
        <is>
          <t>N</t>
        </is>
      </c>
      <c r="I376" t="inlineStr">
        <is>
          <t>5</t>
        </is>
      </c>
      <c r="L376">
        <f>K376-J376</f>
        <v/>
      </c>
      <c r="S376" t="n">
        <v>0</v>
      </c>
      <c r="T376" s="3">
        <f>SUM(O376:S376)</f>
        <v/>
      </c>
      <c r="U376" s="3">
        <f>IF(P376&lt;8,"USTED ESTÁ AL DÍA","USTED NO ESTÁ AL DÍA")</f>
        <v/>
      </c>
      <c r="V376" s="3" t="inlineStr">
        <is>
          <t>PAGO PRESENCIAL:  05/06 de 4-6 pm (LOCAL DEL PUEBLO), PAGO YAPE: 948 227 636</t>
        </is>
      </c>
      <c r="W376" t="n">
        <v>50</v>
      </c>
      <c r="Y376">
        <f>T376+W376+X376</f>
        <v/>
      </c>
    </row>
    <row r="377" hidden="1" ht="15.75" customHeight="1" s="4">
      <c r="A377" s="3" t="n">
        <v>17271</v>
      </c>
      <c r="B377" s="3" t="inlineStr">
        <is>
          <t>11/04/2026 al 10/05/2026</t>
        </is>
      </c>
      <c r="C377" s="2" t="n">
        <v>46179</v>
      </c>
      <c r="D377" s="2" t="n">
        <v>46174</v>
      </c>
      <c r="E377" s="2" t="n">
        <v>46122</v>
      </c>
      <c r="F377" s="2" t="n">
        <v>46152</v>
      </c>
      <c r="G377" t="inlineStr">
        <is>
          <t>CARMEN INGARUCA JULCA</t>
        </is>
      </c>
      <c r="H377" t="inlineStr">
        <is>
          <t>O</t>
        </is>
      </c>
      <c r="I377" t="inlineStr">
        <is>
          <t>2</t>
        </is>
      </c>
      <c r="J377" t="n">
        <v>42</v>
      </c>
      <c r="K377" t="n">
        <v>51</v>
      </c>
      <c r="L377">
        <f>K377-J377</f>
        <v/>
      </c>
      <c r="M377" t="n">
        <v>9</v>
      </c>
      <c r="N377">
        <f>IF(L377&lt;&gt;M377,1,0)</f>
        <v/>
      </c>
      <c r="O377" t="n">
        <v>9</v>
      </c>
      <c r="P377" t="n">
        <v>13</v>
      </c>
      <c r="S377" t="n">
        <v>3</v>
      </c>
      <c r="T377" s="3">
        <f>SUM(O377:S377)</f>
        <v/>
      </c>
      <c r="U377" s="3">
        <f>IF(P377&lt;8,"USTED ESTÁ AL DÍA","USTED NO ESTÁ AL DÍA")</f>
        <v/>
      </c>
      <c r="V377" s="3" t="inlineStr">
        <is>
          <t>PAGO PRESENCIAL:  05/06 de 4-6 pm (LOCAL DEL PUEBLO), PAGO YAPE: 948 227 636</t>
        </is>
      </c>
      <c r="W377" t="n">
        <v>30</v>
      </c>
      <c r="Y377">
        <f>T377+W377+X377</f>
        <v/>
      </c>
    </row>
    <row r="378" hidden="1" ht="15.75" customHeight="1" s="4">
      <c r="A378" s="3" t="n">
        <v>17272</v>
      </c>
      <c r="B378" s="3" t="inlineStr">
        <is>
          <t>11/04/2026 al 10/05/2026</t>
        </is>
      </c>
      <c r="C378" s="2" t="n">
        <v>46179</v>
      </c>
      <c r="D378" s="2" t="n">
        <v>46174</v>
      </c>
      <c r="E378" s="2" t="n">
        <v>46122</v>
      </c>
      <c r="F378" s="2" t="n">
        <v>46152</v>
      </c>
      <c r="G378" t="inlineStr">
        <is>
          <t>MARIA HUERTA MILLA</t>
        </is>
      </c>
      <c r="H378" t="inlineStr">
        <is>
          <t>O</t>
        </is>
      </c>
      <c r="I378" t="inlineStr">
        <is>
          <t>23</t>
        </is>
      </c>
      <c r="J378" t="n">
        <v>94</v>
      </c>
      <c r="K378" t="n">
        <v>97</v>
      </c>
      <c r="L378">
        <f>K378-J378</f>
        <v/>
      </c>
      <c r="M378" t="n">
        <v>5</v>
      </c>
      <c r="O378" t="n">
        <v>5</v>
      </c>
      <c r="P378" t="n">
        <v>8</v>
      </c>
      <c r="S378" t="n">
        <v>3</v>
      </c>
      <c r="T378" s="3">
        <f>SUM(O378:S378)</f>
        <v/>
      </c>
      <c r="U378" s="3">
        <f>IF(P378&lt;8,"USTED ESTÁ AL DÍA","USTED NO ESTÁ AL DÍA")</f>
        <v/>
      </c>
      <c r="V378" s="3" t="inlineStr">
        <is>
          <t>PAGO PRESENCIAL:  05/06 de 4-6 pm (LOCAL DEL PUEBLO), PAGO YAPE: 948 227 636</t>
        </is>
      </c>
      <c r="Y378">
        <f>T378+W378+X378</f>
        <v/>
      </c>
    </row>
    <row r="379" hidden="1" ht="15.75" customHeight="1" s="4">
      <c r="A379" s="3" t="n">
        <v>17273</v>
      </c>
      <c r="B379" s="3" t="inlineStr">
        <is>
          <t>11/04/2026 al 10/05/2026</t>
        </is>
      </c>
      <c r="C379" s="2" t="n">
        <v>46179</v>
      </c>
      <c r="D379" s="2" t="n">
        <v>46174</v>
      </c>
      <c r="E379" s="2" t="n">
        <v>46122</v>
      </c>
      <c r="F379" s="2" t="n">
        <v>46152</v>
      </c>
      <c r="G379" t="inlineStr">
        <is>
          <t>REYNA HUERTA MILLA</t>
        </is>
      </c>
      <c r="H379" t="inlineStr">
        <is>
          <t>O</t>
        </is>
      </c>
      <c r="I379" t="inlineStr">
        <is>
          <t>24</t>
        </is>
      </c>
      <c r="J379" t="n">
        <v>4</v>
      </c>
      <c r="K379" t="n">
        <v>4</v>
      </c>
      <c r="L379">
        <f>K379-J379</f>
        <v/>
      </c>
      <c r="M379" t="n">
        <v>5</v>
      </c>
      <c r="O379" t="n">
        <v>5</v>
      </c>
      <c r="P379" t="n">
        <v>8</v>
      </c>
      <c r="S379" t="n">
        <v>3</v>
      </c>
      <c r="T379" s="3">
        <f>SUM(O379:S379)</f>
        <v/>
      </c>
      <c r="U379" s="3">
        <f>IF(P379&lt;8,"USTED ESTÁ AL DÍA","USTED NO ESTÁ AL DÍA")</f>
        <v/>
      </c>
      <c r="V379" s="3" t="inlineStr">
        <is>
          <t>PAGO PRESENCIAL:  05/06 de 4-6 pm (LOCAL DEL PUEBLO), PAGO YAPE: 948 227 636</t>
        </is>
      </c>
      <c r="W379" t="n">
        <v>50</v>
      </c>
      <c r="Y379">
        <f>T379+W379+X379</f>
        <v/>
      </c>
    </row>
    <row r="380" hidden="1" ht="15.75" customHeight="1" s="4">
      <c r="A380" s="3" t="n">
        <v>17274</v>
      </c>
      <c r="B380" s="3" t="inlineStr">
        <is>
          <t>11/04/2026 al 10/05/2026</t>
        </is>
      </c>
      <c r="C380" s="2" t="n">
        <v>46179</v>
      </c>
      <c r="D380" s="2" t="n">
        <v>46174</v>
      </c>
      <c r="E380" s="2" t="n">
        <v>46122</v>
      </c>
      <c r="F380" s="2" t="n">
        <v>46152</v>
      </c>
      <c r="G380" t="inlineStr">
        <is>
          <t>ALVINA CALVO GIRALDO</t>
        </is>
      </c>
      <c r="H380" t="inlineStr">
        <is>
          <t>O</t>
        </is>
      </c>
      <c r="I380" t="inlineStr">
        <is>
          <t>1</t>
        </is>
      </c>
      <c r="J380" t="n">
        <v>25</v>
      </c>
      <c r="K380" t="n">
        <v>33</v>
      </c>
      <c r="L380">
        <f>K380-J380</f>
        <v/>
      </c>
      <c r="M380" t="n">
        <v>8</v>
      </c>
      <c r="N380">
        <f>IF(L380&lt;&gt;M380,1,0)</f>
        <v/>
      </c>
      <c r="O380" t="n">
        <v>8</v>
      </c>
      <c r="R380" t="n">
        <v>25</v>
      </c>
      <c r="S380" t="n">
        <v>3</v>
      </c>
      <c r="T380" s="3">
        <f>SUM(O380:S380)</f>
        <v/>
      </c>
      <c r="U380" s="3">
        <f>IF(P380&lt;8,"USTED ESTÁ AL DÍA","USTED NO ESTÁ AL DÍA")</f>
        <v/>
      </c>
      <c r="V380" s="3" t="inlineStr">
        <is>
          <t>PAGO PRESENCIAL:  05/06 de 4-6 pm (LOCAL DEL PUEBLO), PAGO YAPE: 948 227 636</t>
        </is>
      </c>
      <c r="W380" t="n">
        <v>30</v>
      </c>
      <c r="X380" t="n">
        <v>10</v>
      </c>
      <c r="Y380">
        <f>T380+W380+X380</f>
        <v/>
      </c>
    </row>
    <row r="381" hidden="1" ht="15.75" customHeight="1" s="4">
      <c r="A381" s="3" t="n">
        <v>17275</v>
      </c>
      <c r="B381" s="3" t="inlineStr">
        <is>
          <t>11/04/2026 al 10/05/2026</t>
        </is>
      </c>
      <c r="C381" s="2" t="n">
        <v>46179</v>
      </c>
      <c r="D381" s="2" t="n">
        <v>46174</v>
      </c>
      <c r="E381" s="2" t="n">
        <v>46122</v>
      </c>
      <c r="F381" s="2" t="n">
        <v>46152</v>
      </c>
      <c r="G381" t="inlineStr">
        <is>
          <t>MANUEL SAAVEDRA TRUJILLO</t>
        </is>
      </c>
      <c r="H381" t="inlineStr">
        <is>
          <t>O</t>
        </is>
      </c>
      <c r="I381" t="inlineStr">
        <is>
          <t>3</t>
        </is>
      </c>
      <c r="J381" t="n">
        <v>20</v>
      </c>
      <c r="K381" t="n">
        <v>29</v>
      </c>
      <c r="L381">
        <f>K381-J381</f>
        <v/>
      </c>
      <c r="M381" t="n">
        <v>9</v>
      </c>
      <c r="N381">
        <f>IF(L381&lt;&gt;M381,1,0)</f>
        <v/>
      </c>
      <c r="O381" t="n">
        <v>9</v>
      </c>
      <c r="S381" t="n">
        <v>3</v>
      </c>
      <c r="T381" s="3">
        <f>SUM(O381:S381)</f>
        <v/>
      </c>
      <c r="U381" s="3">
        <f>IF(P381&lt;8,"USTED ESTÁ AL DÍA","USTED NO ESTÁ AL DÍA")</f>
        <v/>
      </c>
      <c r="V381" s="3" t="inlineStr">
        <is>
          <t>PAGO PRESENCIAL:  05/06 de 4-6 pm (LOCAL DEL PUEBLO), PAGO YAPE: 948 227 636</t>
        </is>
      </c>
      <c r="W381" t="n">
        <v>20</v>
      </c>
      <c r="Y381">
        <f>T381+W381+X381</f>
        <v/>
      </c>
    </row>
    <row r="382" hidden="1" ht="15.75" customHeight="1" s="4">
      <c r="A382" s="3" t="n">
        <v>17276</v>
      </c>
      <c r="B382" s="3" t="inlineStr">
        <is>
          <t>11/04/2026 al 10/05/2026</t>
        </is>
      </c>
      <c r="C382" s="2" t="n">
        <v>46179</v>
      </c>
      <c r="D382" s="2" t="n">
        <v>46174</v>
      </c>
      <c r="E382" s="2" t="n">
        <v>46122</v>
      </c>
      <c r="F382" s="2" t="n">
        <v>46152</v>
      </c>
      <c r="G382" t="inlineStr">
        <is>
          <t>EDGAR ROLLY ROSARIO ESPINOZA</t>
        </is>
      </c>
      <c r="H382" t="inlineStr">
        <is>
          <t>O</t>
        </is>
      </c>
      <c r="I382" t="inlineStr">
        <is>
          <t>4</t>
        </is>
      </c>
      <c r="J382" t="n">
        <v>8</v>
      </c>
      <c r="K382" t="n">
        <v>10</v>
      </c>
      <c r="L382">
        <f>K382-J382</f>
        <v/>
      </c>
      <c r="M382" t="n">
        <v>5</v>
      </c>
      <c r="O382" t="n">
        <v>5</v>
      </c>
      <c r="R382" t="n">
        <v>25</v>
      </c>
      <c r="S382" t="n">
        <v>3</v>
      </c>
      <c r="T382" s="3">
        <f>SUM(O382:S382)</f>
        <v/>
      </c>
      <c r="U382" s="3">
        <f>IF(P382&lt;8,"USTED ESTÁ AL DÍA","USTED NO ESTÁ AL DÍA")</f>
        <v/>
      </c>
      <c r="V382" s="3" t="inlineStr">
        <is>
          <t>PAGO PRESENCIAL:  05/06 de 4-6 pm (LOCAL DEL PUEBLO), PAGO YAPE: 948 227 636</t>
        </is>
      </c>
      <c r="Y382">
        <f>T382+W382+X382</f>
        <v/>
      </c>
    </row>
    <row r="383" hidden="1" ht="15.75" customHeight="1" s="4">
      <c r="A383" s="3" t="n">
        <v>17277</v>
      </c>
      <c r="B383" s="3" t="inlineStr">
        <is>
          <t>11/04/2026 al 10/05/2026</t>
        </is>
      </c>
      <c r="C383" s="2" t="n">
        <v>46179</v>
      </c>
      <c r="D383" s="2" t="n">
        <v>46174</v>
      </c>
      <c r="E383" s="2" t="n">
        <v>46122</v>
      </c>
      <c r="F383" s="2" t="n">
        <v>46152</v>
      </c>
      <c r="G383" t="inlineStr">
        <is>
          <t>HERMOGENES ESCUDERO LOPEZ</t>
        </is>
      </c>
      <c r="H383" t="inlineStr">
        <is>
          <t>O</t>
        </is>
      </c>
      <c r="I383" t="inlineStr">
        <is>
          <t>5</t>
        </is>
      </c>
      <c r="J383" t="n">
        <v>666</v>
      </c>
      <c r="K383" t="n">
        <v>676</v>
      </c>
      <c r="L383">
        <f>K383-J383</f>
        <v/>
      </c>
      <c r="M383" t="n">
        <v>10</v>
      </c>
      <c r="N383">
        <f>IF(L383&lt;&gt;M383,1,0)</f>
        <v/>
      </c>
      <c r="O383" t="n">
        <v>10</v>
      </c>
      <c r="S383" t="n">
        <v>3</v>
      </c>
      <c r="T383" s="3">
        <f>SUM(O383:S383)</f>
        <v/>
      </c>
      <c r="U383" s="3">
        <f>IF(P383&lt;8,"USTED ESTÁ AL DÍA","USTED NO ESTÁ AL DÍA")</f>
        <v/>
      </c>
      <c r="V383" s="3" t="inlineStr">
        <is>
          <t>PAGO PRESENCIAL:  05/06 de 4-6 pm (LOCAL DEL PUEBLO), PAGO YAPE: 948 227 636</t>
        </is>
      </c>
      <c r="Y383">
        <f>T383+W383+X383</f>
        <v/>
      </c>
    </row>
    <row r="384" hidden="1" ht="15.75" customHeight="1" s="4">
      <c r="A384" s="3" t="n">
        <v>17278</v>
      </c>
      <c r="B384" s="3" t="inlineStr">
        <is>
          <t>11/04/2026 al 10/05/2026</t>
        </is>
      </c>
      <c r="C384" s="2" t="n">
        <v>46179</v>
      </c>
      <c r="D384" s="2" t="n">
        <v>46174</v>
      </c>
      <c r="E384" s="2" t="n">
        <v>46122</v>
      </c>
      <c r="F384" s="2" t="n">
        <v>46152</v>
      </c>
      <c r="G384" t="inlineStr">
        <is>
          <t>MARIA RAMIREZ RODRIGUEZ</t>
        </is>
      </c>
      <c r="H384" t="inlineStr">
        <is>
          <t>O</t>
        </is>
      </c>
      <c r="I384" t="inlineStr">
        <is>
          <t>6</t>
        </is>
      </c>
      <c r="J384" t="n">
        <v>17</v>
      </c>
      <c r="K384" t="n">
        <v>25</v>
      </c>
      <c r="L384">
        <f>K384-J384</f>
        <v/>
      </c>
      <c r="M384" t="n">
        <v>8</v>
      </c>
      <c r="N384">
        <f>IF(L384&lt;&gt;M384,1,0)</f>
        <v/>
      </c>
      <c r="O384" t="n">
        <v>8</v>
      </c>
      <c r="R384" t="n">
        <v>25</v>
      </c>
      <c r="S384" t="n">
        <v>3</v>
      </c>
      <c r="T384" s="3">
        <f>SUM(O384:S384)</f>
        <v/>
      </c>
      <c r="U384" s="3">
        <f>IF(P384&lt;8,"USTED ESTÁ AL DÍA","USTED NO ESTÁ AL DÍA")</f>
        <v/>
      </c>
      <c r="V384" s="3" t="inlineStr">
        <is>
          <t>PAGO PRESENCIAL:  05/06 de 4-6 pm (LOCAL DEL PUEBLO), PAGO YAPE: 948 227 636</t>
        </is>
      </c>
      <c r="W384" t="n">
        <v>50</v>
      </c>
      <c r="X384" t="n">
        <v>50</v>
      </c>
      <c r="Y384">
        <f>T384+W384+X384</f>
        <v/>
      </c>
    </row>
    <row r="385" hidden="1" ht="15.75" customHeight="1" s="4">
      <c r="A385" s="3" t="n">
        <v>17279</v>
      </c>
      <c r="B385" s="3" t="inlineStr">
        <is>
          <t>11/04/2026 al 10/05/2026</t>
        </is>
      </c>
      <c r="C385" s="2" t="n">
        <v>46179</v>
      </c>
      <c r="D385" s="2" t="n">
        <v>46174</v>
      </c>
      <c r="E385" s="2" t="n">
        <v>46122</v>
      </c>
      <c r="F385" s="2" t="n">
        <v>46152</v>
      </c>
      <c r="G385" t="inlineStr">
        <is>
          <t>CARMELO RAMIREZ RODRIGUEZ</t>
        </is>
      </c>
      <c r="H385" t="inlineStr">
        <is>
          <t>O</t>
        </is>
      </c>
      <c r="I385" t="inlineStr">
        <is>
          <t>7</t>
        </is>
      </c>
      <c r="J385" t="n">
        <v>246</v>
      </c>
      <c r="K385" t="n">
        <v>251</v>
      </c>
      <c r="L385">
        <f>K385-J385</f>
        <v/>
      </c>
      <c r="M385" t="n">
        <v>5</v>
      </c>
      <c r="O385" t="n">
        <v>5</v>
      </c>
      <c r="S385" t="n">
        <v>3</v>
      </c>
      <c r="T385" s="3">
        <f>SUM(O385:S385)</f>
        <v/>
      </c>
      <c r="U385" s="3">
        <f>IF(P385&lt;8,"USTED ESTÁ AL DÍA","USTED NO ESTÁ AL DÍA")</f>
        <v/>
      </c>
      <c r="V385" s="3" t="inlineStr">
        <is>
          <t>PAGO PRESENCIAL:  05/06 de 4-6 pm (LOCAL DEL PUEBLO), PAGO YAPE: 948 227 636</t>
        </is>
      </c>
      <c r="W385" t="n">
        <v>50</v>
      </c>
      <c r="X385" t="n">
        <v>75</v>
      </c>
      <c r="Y385">
        <f>T385+W385+X385</f>
        <v/>
      </c>
    </row>
    <row r="386" hidden="1" ht="15.75" customHeight="1" s="4">
      <c r="A386" s="3" t="n">
        <v>17280</v>
      </c>
      <c r="B386" s="3" t="inlineStr">
        <is>
          <t>11/04/2026 al 10/05/2026</t>
        </is>
      </c>
      <c r="C386" s="2" t="n">
        <v>46179</v>
      </c>
      <c r="D386" s="2" t="n">
        <v>46174</v>
      </c>
      <c r="E386" s="2" t="n">
        <v>46122</v>
      </c>
      <c r="F386" s="2" t="n">
        <v>46152</v>
      </c>
      <c r="G386" t="inlineStr">
        <is>
          <t>REYNALDO MEDRANO BORDA</t>
        </is>
      </c>
      <c r="H386" t="inlineStr">
        <is>
          <t>O</t>
        </is>
      </c>
      <c r="I386" t="inlineStr">
        <is>
          <t>8</t>
        </is>
      </c>
      <c r="J386" t="n">
        <v>26</v>
      </c>
      <c r="K386" t="n">
        <v>40</v>
      </c>
      <c r="L386">
        <f>K386-J386</f>
        <v/>
      </c>
      <c r="M386" t="n">
        <v>14</v>
      </c>
      <c r="N386">
        <f>IF(L386&lt;&gt;M386,1,0)</f>
        <v/>
      </c>
      <c r="O386" t="n">
        <v>14</v>
      </c>
      <c r="R386" t="n">
        <v>25</v>
      </c>
      <c r="S386" t="n">
        <v>3</v>
      </c>
      <c r="T386" s="3">
        <f>SUM(O386:S386)</f>
        <v/>
      </c>
      <c r="U386" s="3">
        <f>IF(P386&lt;8,"USTED ESTÁ AL DÍA","USTED NO ESTÁ AL DÍA")</f>
        <v/>
      </c>
      <c r="V386" s="3" t="inlineStr">
        <is>
          <t>PAGO PRESENCIAL:  05/06 de 4-6 pm (LOCAL DEL PUEBLO), PAGO YAPE: 948 227 636</t>
        </is>
      </c>
      <c r="W386" t="n">
        <v>50</v>
      </c>
      <c r="X386" t="n">
        <v>50</v>
      </c>
      <c r="Y386">
        <f>T386+W386+X386</f>
        <v/>
      </c>
    </row>
    <row r="387" hidden="1" ht="15.75" customHeight="1" s="4">
      <c r="A387" s="3" t="n">
        <v>17281</v>
      </c>
      <c r="B387" s="3" t="inlineStr">
        <is>
          <t>11/04/2026 al 10/05/2026</t>
        </is>
      </c>
      <c r="C387" s="2" t="n">
        <v>46179</v>
      </c>
      <c r="D387" s="2" t="n">
        <v>46174</v>
      </c>
      <c r="E387" s="2" t="n">
        <v>46122</v>
      </c>
      <c r="F387" s="2" t="n">
        <v>46152</v>
      </c>
      <c r="G387" t="inlineStr">
        <is>
          <t>RAUL BLAS QUISPE</t>
        </is>
      </c>
      <c r="H387" t="inlineStr">
        <is>
          <t>O</t>
        </is>
      </c>
      <c r="I387" t="inlineStr">
        <is>
          <t>9</t>
        </is>
      </c>
      <c r="J387" t="n">
        <v>44</v>
      </c>
      <c r="K387" t="n">
        <v>67</v>
      </c>
      <c r="L387">
        <f>K387-J387</f>
        <v/>
      </c>
      <c r="M387" t="n">
        <v>23</v>
      </c>
      <c r="N387">
        <f>IF(L387&lt;&gt;M387,1,0)</f>
        <v/>
      </c>
      <c r="O387" t="n">
        <v>23</v>
      </c>
      <c r="R387" t="n">
        <v>25</v>
      </c>
      <c r="S387" t="n">
        <v>3</v>
      </c>
      <c r="T387" s="3">
        <f>SUM(O387:S387)</f>
        <v/>
      </c>
      <c r="U387" s="3">
        <f>IF(P387&lt;8,"USTED ESTÁ AL DÍA","USTED NO ESTÁ AL DÍA")</f>
        <v/>
      </c>
      <c r="V387" s="3" t="inlineStr">
        <is>
          <t>PAGO PRESENCIAL:  05/06 de 4-6 pm (LOCAL DEL PUEBLO), PAGO YAPE: 948 227 636</t>
        </is>
      </c>
      <c r="W387" t="n">
        <v>20</v>
      </c>
      <c r="Y387">
        <f>T387+W387+X387</f>
        <v/>
      </c>
    </row>
    <row r="388" hidden="1" ht="15.75" customHeight="1" s="4">
      <c r="A388" s="3" t="n">
        <v>17282</v>
      </c>
      <c r="B388" s="3" t="inlineStr">
        <is>
          <t>11/04/2026 al 10/05/2026</t>
        </is>
      </c>
      <c r="C388" s="2" t="n">
        <v>46179</v>
      </c>
      <c r="D388" s="2" t="n">
        <v>46174</v>
      </c>
      <c r="E388" s="2" t="n">
        <v>46122</v>
      </c>
      <c r="F388" s="2" t="n">
        <v>46152</v>
      </c>
      <c r="G388" t="inlineStr">
        <is>
          <t>TERESA BLAS QUISPE</t>
        </is>
      </c>
      <c r="H388" t="inlineStr">
        <is>
          <t>O</t>
        </is>
      </c>
      <c r="I388" t="inlineStr">
        <is>
          <t>10</t>
        </is>
      </c>
      <c r="J388" t="n">
        <v>1310</v>
      </c>
      <c r="K388" t="n">
        <v>1320</v>
      </c>
      <c r="L388">
        <f>K388-J388</f>
        <v/>
      </c>
      <c r="M388" t="n">
        <v>10</v>
      </c>
      <c r="N388">
        <f>IF(L388&lt;&gt;M388,1,0)</f>
        <v/>
      </c>
      <c r="O388" t="n">
        <v>10</v>
      </c>
      <c r="S388" t="n">
        <v>3</v>
      </c>
      <c r="T388" s="3">
        <f>SUM(O388:S388)</f>
        <v/>
      </c>
      <c r="U388" s="3">
        <f>IF(P388&lt;8,"USTED ESTÁ AL DÍA","USTED NO ESTÁ AL DÍA")</f>
        <v/>
      </c>
      <c r="V388" s="3" t="inlineStr">
        <is>
          <t>PAGO PRESENCIAL:  05/06 de 4-6 pm (LOCAL DEL PUEBLO), PAGO YAPE: 948 227 636</t>
        </is>
      </c>
      <c r="W388" t="n">
        <v>30</v>
      </c>
      <c r="Y388">
        <f>T388+W388+X388</f>
        <v/>
      </c>
    </row>
    <row r="389" hidden="1" ht="15.75" customHeight="1" s="4">
      <c r="A389" s="3" t="n">
        <v>17283</v>
      </c>
      <c r="B389" s="3" t="inlineStr">
        <is>
          <t>11/04/2026 al 10/05/2026</t>
        </is>
      </c>
      <c r="C389" s="2" t="n">
        <v>46179</v>
      </c>
      <c r="D389" s="2" t="n">
        <v>46174</v>
      </c>
      <c r="E389" s="2" t="n">
        <v>46122</v>
      </c>
      <c r="F389" s="2" t="n">
        <v>46152</v>
      </c>
      <c r="G389" t="inlineStr">
        <is>
          <t>EPIFANIO ESCUDERO LOPEZ</t>
        </is>
      </c>
      <c r="H389" t="inlineStr">
        <is>
          <t>O</t>
        </is>
      </c>
      <c r="I389" t="inlineStr">
        <is>
          <t>11</t>
        </is>
      </c>
      <c r="J389" t="n">
        <v>245</v>
      </c>
      <c r="K389" t="n">
        <v>247</v>
      </c>
      <c r="L389">
        <f>K389-J389</f>
        <v/>
      </c>
      <c r="M389" t="n">
        <v>5</v>
      </c>
      <c r="O389" t="n">
        <v>5</v>
      </c>
      <c r="S389" t="n">
        <v>3</v>
      </c>
      <c r="T389" s="3">
        <f>SUM(O389:S389)</f>
        <v/>
      </c>
      <c r="U389" s="3">
        <f>IF(P389&lt;8,"USTED ESTÁ AL DÍA","USTED NO ESTÁ AL DÍA")</f>
        <v/>
      </c>
      <c r="V389" s="3" t="inlineStr">
        <is>
          <t>PAGO PRESENCIAL:  05/06 de 4-6 pm (LOCAL DEL PUEBLO), PAGO YAPE: 948 227 636</t>
        </is>
      </c>
      <c r="W389" t="n">
        <v>30</v>
      </c>
      <c r="Y389">
        <f>T389+W389+X389</f>
        <v/>
      </c>
    </row>
    <row r="390" hidden="1" ht="15.75" customHeight="1" s="4">
      <c r="A390" s="3" t="n">
        <v>17284</v>
      </c>
      <c r="B390" s="3" t="inlineStr">
        <is>
          <t>11/04/2026 al 10/05/2026</t>
        </is>
      </c>
      <c r="C390" s="2" t="n">
        <v>46179</v>
      </c>
      <c r="D390" s="2" t="n">
        <v>46174</v>
      </c>
      <c r="E390" s="2" t="n">
        <v>46122</v>
      </c>
      <c r="F390" s="2" t="n">
        <v>46152</v>
      </c>
      <c r="G390" t="inlineStr">
        <is>
          <t>CATALINA DURAND DOMINGUEZ</t>
        </is>
      </c>
      <c r="H390" t="inlineStr">
        <is>
          <t>O</t>
        </is>
      </c>
      <c r="I390" t="inlineStr">
        <is>
          <t>12</t>
        </is>
      </c>
      <c r="J390" t="n">
        <v>11</v>
      </c>
      <c r="K390" t="n">
        <v>17</v>
      </c>
      <c r="L390">
        <f>K390-J390</f>
        <v/>
      </c>
      <c r="M390" t="n">
        <v>6</v>
      </c>
      <c r="N390">
        <f>IF(L390&lt;&gt;M390,1,0)</f>
        <v/>
      </c>
      <c r="O390" t="n">
        <v>6</v>
      </c>
      <c r="S390" t="n">
        <v>3</v>
      </c>
      <c r="T390" s="3">
        <f>SUM(O390:S390)</f>
        <v/>
      </c>
      <c r="U390" s="3">
        <f>IF(P390&lt;8,"USTED ESTÁ AL DÍA","USTED NO ESTÁ AL DÍA")</f>
        <v/>
      </c>
      <c r="V390" s="3" t="inlineStr">
        <is>
          <t>PAGO PRESENCIAL:  05/06 de 4-6 pm (LOCAL DEL PUEBLO), PAGO YAPE: 948 227 636</t>
        </is>
      </c>
      <c r="W390" t="n">
        <v>50</v>
      </c>
      <c r="X390" t="n">
        <v>50</v>
      </c>
      <c r="Y390">
        <f>T390+W390+X390</f>
        <v/>
      </c>
    </row>
    <row r="391" hidden="1" ht="15.75" customHeight="1" s="4">
      <c r="A391" s="3" t="n">
        <v>17285</v>
      </c>
      <c r="B391" s="3" t="inlineStr">
        <is>
          <t>11/04/2026 al 10/05/2026</t>
        </is>
      </c>
      <c r="C391" s="2" t="n">
        <v>46179</v>
      </c>
      <c r="D391" s="2" t="n">
        <v>46174</v>
      </c>
      <c r="E391" s="2" t="n">
        <v>46122</v>
      </c>
      <c r="F391" s="2" t="n">
        <v>46152</v>
      </c>
      <c r="G391" t="inlineStr">
        <is>
          <t>PEDRO MENDOZA MARQUINA</t>
        </is>
      </c>
      <c r="H391" t="inlineStr">
        <is>
          <t>O</t>
        </is>
      </c>
      <c r="I391" t="inlineStr">
        <is>
          <t>13</t>
        </is>
      </c>
      <c r="J391" t="n">
        <v>36</v>
      </c>
      <c r="K391" t="n">
        <v>56</v>
      </c>
      <c r="L391">
        <f>K391-J391</f>
        <v/>
      </c>
      <c r="M391" t="n">
        <v>20</v>
      </c>
      <c r="N391">
        <f>IF(L391&lt;&gt;M391,1,0)</f>
        <v/>
      </c>
      <c r="O391" t="n">
        <v>20</v>
      </c>
      <c r="S391" t="n">
        <v>3</v>
      </c>
      <c r="T391" s="3">
        <f>SUM(O391:S391)</f>
        <v/>
      </c>
      <c r="U391" s="3">
        <f>IF(P391&lt;8,"USTED ESTÁ AL DÍA","USTED NO ESTÁ AL DÍA")</f>
        <v/>
      </c>
      <c r="V391" s="3" t="inlineStr">
        <is>
          <t>PAGO PRESENCIAL:  05/06 de 4-6 pm (LOCAL DEL PUEBLO), PAGO YAPE: 948 227 636</t>
        </is>
      </c>
      <c r="Y391">
        <f>T391+W391+X391</f>
        <v/>
      </c>
    </row>
    <row r="392" hidden="1" ht="15.75" customHeight="1" s="4">
      <c r="A392" s="3" t="n">
        <v>17286</v>
      </c>
      <c r="B392" s="3" t="inlineStr">
        <is>
          <t>11/04/2026 al 10/05/2026</t>
        </is>
      </c>
      <c r="C392" s="2" t="n">
        <v>46179</v>
      </c>
      <c r="D392" s="2" t="n">
        <v>46174</v>
      </c>
      <c r="E392" s="2" t="n">
        <v>46122</v>
      </c>
      <c r="F392" s="2" t="n">
        <v>46152</v>
      </c>
      <c r="G392" t="inlineStr">
        <is>
          <t>LOIDA MOYA VALVERDE</t>
        </is>
      </c>
      <c r="H392" t="inlineStr">
        <is>
          <t>O</t>
        </is>
      </c>
      <c r="I392" t="inlineStr">
        <is>
          <t>14</t>
        </is>
      </c>
      <c r="J392" t="n">
        <v>648</v>
      </c>
      <c r="K392" t="n">
        <v>658</v>
      </c>
      <c r="L392">
        <f>K392-J392</f>
        <v/>
      </c>
      <c r="M392" t="n">
        <v>10</v>
      </c>
      <c r="N392">
        <f>IF(L392&lt;&gt;M392,1,0)</f>
        <v/>
      </c>
      <c r="O392" t="n">
        <v>10</v>
      </c>
      <c r="S392" t="n">
        <v>3</v>
      </c>
      <c r="T392" s="3">
        <f>SUM(O392:S392)</f>
        <v/>
      </c>
      <c r="U392" s="3">
        <f>IF(P392&lt;8,"USTED ESTÁ AL DÍA","USTED NO ESTÁ AL DÍA")</f>
        <v/>
      </c>
      <c r="V392" s="3" t="inlineStr">
        <is>
          <t>PAGO PRESENCIAL:  05/06 de 4-6 pm (LOCAL DEL PUEBLO), PAGO YAPE: 948 227 636</t>
        </is>
      </c>
      <c r="Y392">
        <f>T392+W392+X392</f>
        <v/>
      </c>
    </row>
    <row r="393" hidden="1" ht="15.75" customHeight="1" s="4">
      <c r="A393" s="3" t="n">
        <v>17287</v>
      </c>
      <c r="B393" s="3" t="inlineStr">
        <is>
          <t>11/04/2026 al 10/05/2026</t>
        </is>
      </c>
      <c r="C393" s="2" t="n">
        <v>46179</v>
      </c>
      <c r="D393" s="2" t="n">
        <v>46174</v>
      </c>
      <c r="E393" s="2" t="n">
        <v>46122</v>
      </c>
      <c r="F393" s="2" t="n">
        <v>46152</v>
      </c>
      <c r="G393" t="inlineStr">
        <is>
          <t>JUAN PINEDO BEDON</t>
        </is>
      </c>
      <c r="H393" t="inlineStr">
        <is>
          <t>O</t>
        </is>
      </c>
      <c r="I393" t="inlineStr">
        <is>
          <t>15</t>
        </is>
      </c>
      <c r="J393" t="n">
        <v>1030</v>
      </c>
      <c r="K393" t="n">
        <v>1050</v>
      </c>
      <c r="L393">
        <f>K393-J393</f>
        <v/>
      </c>
      <c r="M393" t="n">
        <v>20</v>
      </c>
      <c r="N393">
        <f>IF(L393&lt;&gt;M393,1,0)</f>
        <v/>
      </c>
      <c r="O393" t="n">
        <v>20</v>
      </c>
      <c r="S393" t="n">
        <v>3</v>
      </c>
      <c r="T393" s="3">
        <f>SUM(O393:S393)</f>
        <v/>
      </c>
      <c r="U393" s="3">
        <f>IF(P393&lt;8,"USTED ESTÁ AL DÍA","USTED NO ESTÁ AL DÍA")</f>
        <v/>
      </c>
      <c r="V393" s="3" t="inlineStr">
        <is>
          <t>PAGO PRESENCIAL:  05/06 de 4-6 pm (LOCAL DEL PUEBLO), PAGO YAPE: 948 227 636</t>
        </is>
      </c>
      <c r="W393" t="n">
        <v>30</v>
      </c>
      <c r="Y393">
        <f>T393+W393+X393</f>
        <v/>
      </c>
    </row>
    <row r="394" hidden="1" ht="15.75" customHeight="1" s="4">
      <c r="A394" s="3" t="n">
        <v>17288</v>
      </c>
      <c r="B394" s="3" t="inlineStr">
        <is>
          <t>11/04/2026 al 10/05/2026</t>
        </is>
      </c>
      <c r="C394" s="2" t="n">
        <v>46179</v>
      </c>
      <c r="D394" s="2" t="n">
        <v>46174</v>
      </c>
      <c r="E394" s="2" t="n">
        <v>46122</v>
      </c>
      <c r="F394" s="2" t="n">
        <v>46152</v>
      </c>
      <c r="G394" t="inlineStr">
        <is>
          <t>EDGAR MELGAREJO BEDON</t>
        </is>
      </c>
      <c r="H394" t="inlineStr">
        <is>
          <t>O</t>
        </is>
      </c>
      <c r="I394" t="inlineStr">
        <is>
          <t>16</t>
        </is>
      </c>
      <c r="J394" t="n">
        <v>24</v>
      </c>
      <c r="K394" t="n">
        <v>29</v>
      </c>
      <c r="L394">
        <f>K394-J394</f>
        <v/>
      </c>
      <c r="M394" t="n">
        <v>5</v>
      </c>
      <c r="O394" t="n">
        <v>5</v>
      </c>
      <c r="P394" t="n">
        <v>2</v>
      </c>
      <c r="S394" t="n">
        <v>3</v>
      </c>
      <c r="T394" s="3">
        <f>SUM(O394:S394)</f>
        <v/>
      </c>
      <c r="U394" s="3">
        <f>IF(P394&lt;8,"USTED ESTÁ AL DÍA","USTED NO ESTÁ AL DÍA")</f>
        <v/>
      </c>
      <c r="V394" s="3" t="inlineStr">
        <is>
          <t>PAGO PRESENCIAL:  05/06 de 4-6 pm (LOCAL DEL PUEBLO), PAGO YAPE: 948 227 636</t>
        </is>
      </c>
      <c r="Y394">
        <f>T394+W394+X394</f>
        <v/>
      </c>
    </row>
    <row r="395" hidden="1" ht="15.75" customHeight="1" s="4">
      <c r="A395" s="3" t="n">
        <v>17289</v>
      </c>
      <c r="B395" s="3" t="inlineStr">
        <is>
          <t>11/04/2026 al 10/05/2026</t>
        </is>
      </c>
      <c r="C395" s="2" t="n">
        <v>46179</v>
      </c>
      <c r="D395" s="2" t="n">
        <v>46174</v>
      </c>
      <c r="E395" s="2" t="n">
        <v>46122</v>
      </c>
      <c r="F395" s="2" t="n">
        <v>46152</v>
      </c>
      <c r="G395" t="inlineStr">
        <is>
          <t>DONATA SAMARITANO CERNA</t>
        </is>
      </c>
      <c r="H395" t="inlineStr">
        <is>
          <t>O</t>
        </is>
      </c>
      <c r="I395" t="inlineStr">
        <is>
          <t>17</t>
        </is>
      </c>
      <c r="J395" t="n">
        <v>8</v>
      </c>
      <c r="K395" t="n">
        <v>11</v>
      </c>
      <c r="L395">
        <f>K395-J395</f>
        <v/>
      </c>
      <c r="M395" t="n">
        <v>5</v>
      </c>
      <c r="O395" t="n">
        <v>5</v>
      </c>
      <c r="R395" t="n">
        <v>25</v>
      </c>
      <c r="S395" t="n">
        <v>3</v>
      </c>
      <c r="T395" s="3">
        <f>SUM(O395:S395)</f>
        <v/>
      </c>
      <c r="U395" s="3">
        <f>IF(P395&lt;8,"USTED ESTÁ AL DÍA","USTED NO ESTÁ AL DÍA")</f>
        <v/>
      </c>
      <c r="V395" s="3" t="inlineStr">
        <is>
          <t>PAGO PRESENCIAL:  05/06 de 4-6 pm (LOCAL DEL PUEBLO), PAGO YAPE: 948 227 636</t>
        </is>
      </c>
      <c r="W395" t="n">
        <v>20</v>
      </c>
      <c r="Y395">
        <f>T395+W395+X395</f>
        <v/>
      </c>
    </row>
    <row r="396" hidden="1" ht="15.75" customHeight="1" s="4">
      <c r="A396" s="3" t="n">
        <v>17290</v>
      </c>
      <c r="B396" s="3" t="inlineStr">
        <is>
          <t>11/04/2026 al 10/05/2026</t>
        </is>
      </c>
      <c r="C396" s="2" t="n">
        <v>46179</v>
      </c>
      <c r="D396" s="2" t="n">
        <v>46174</v>
      </c>
      <c r="E396" s="2" t="n">
        <v>46122</v>
      </c>
      <c r="F396" s="2" t="n">
        <v>46152</v>
      </c>
      <c r="G396" t="inlineStr">
        <is>
          <t>APOLONIO DURAND VALLADARES</t>
        </is>
      </c>
      <c r="H396" t="inlineStr">
        <is>
          <t>O</t>
        </is>
      </c>
      <c r="I396" t="inlineStr">
        <is>
          <t>18</t>
        </is>
      </c>
      <c r="J396" t="n">
        <v>376</v>
      </c>
      <c r="K396" t="n">
        <v>390</v>
      </c>
      <c r="L396">
        <f>K396-J396</f>
        <v/>
      </c>
      <c r="M396" t="n">
        <v>14</v>
      </c>
      <c r="N396">
        <f>IF(L396&lt;&gt;M396,1,0)</f>
        <v/>
      </c>
      <c r="O396" t="n">
        <v>14</v>
      </c>
      <c r="S396" t="n">
        <v>3</v>
      </c>
      <c r="T396" s="3">
        <f>SUM(O396:S396)</f>
        <v/>
      </c>
      <c r="U396" s="3">
        <f>IF(P396&lt;8,"USTED ESTÁ AL DÍA","USTED NO ESTÁ AL DÍA")</f>
        <v/>
      </c>
      <c r="V396" s="3" t="inlineStr">
        <is>
          <t>PAGO PRESENCIAL:  05/06 de 4-6 pm (LOCAL DEL PUEBLO), PAGO YAPE: 948 227 636</t>
        </is>
      </c>
      <c r="Y396">
        <f>T396+W396+X396</f>
        <v/>
      </c>
    </row>
    <row r="397" hidden="1" ht="15.75" customHeight="1" s="4">
      <c r="A397" s="3" t="n">
        <v>17291</v>
      </c>
      <c r="B397" s="3" t="inlineStr">
        <is>
          <t>11/04/2026 al 10/05/2026</t>
        </is>
      </c>
      <c r="C397" s="2" t="n">
        <v>46179</v>
      </c>
      <c r="D397" s="2" t="n">
        <v>46174</v>
      </c>
      <c r="E397" s="2" t="n">
        <v>46122</v>
      </c>
      <c r="F397" s="2" t="n">
        <v>46152</v>
      </c>
      <c r="G397" t="inlineStr">
        <is>
          <t>SIMONA GASPAR OLORTEGUI DE MONTALVO</t>
        </is>
      </c>
      <c r="H397" t="inlineStr">
        <is>
          <t>O</t>
        </is>
      </c>
      <c r="I397" t="inlineStr">
        <is>
          <t>19</t>
        </is>
      </c>
      <c r="J397" t="n">
        <v>16</v>
      </c>
      <c r="K397" t="n">
        <v>23</v>
      </c>
      <c r="L397">
        <f>K397-J397</f>
        <v/>
      </c>
      <c r="M397" t="n">
        <v>7</v>
      </c>
      <c r="N397">
        <f>IF(L397&lt;&gt;M397,1,0)</f>
        <v/>
      </c>
      <c r="O397" t="n">
        <v>7</v>
      </c>
      <c r="R397" t="n">
        <v>25</v>
      </c>
      <c r="S397" t="n">
        <v>3</v>
      </c>
      <c r="T397" s="3">
        <f>SUM(O397:S397)</f>
        <v/>
      </c>
      <c r="U397" s="3">
        <f>IF(P397&lt;8,"USTED ESTÁ AL DÍA","USTED NO ESTÁ AL DÍA")</f>
        <v/>
      </c>
      <c r="V397" s="3" t="inlineStr">
        <is>
          <t>PAGO PRESENCIAL:  05/06 de 4-6 pm (LOCAL DEL PUEBLO), PAGO YAPE: 948 227 636</t>
        </is>
      </c>
      <c r="X397" t="n">
        <v>50</v>
      </c>
      <c r="Y397">
        <f>T397+W397+X397</f>
        <v/>
      </c>
    </row>
    <row r="398" hidden="1" ht="15.75" customHeight="1" s="4">
      <c r="A398" s="3" t="n">
        <v>17292</v>
      </c>
      <c r="B398" s="3" t="inlineStr">
        <is>
          <t>11/04/2026 al 10/05/2026</t>
        </is>
      </c>
      <c r="C398" s="2" t="n">
        <v>46179</v>
      </c>
      <c r="D398" s="2" t="n">
        <v>46174</v>
      </c>
      <c r="E398" s="2" t="n">
        <v>46122</v>
      </c>
      <c r="F398" s="2" t="n">
        <v>46152</v>
      </c>
      <c r="G398" t="inlineStr">
        <is>
          <t>JULIA CRUZ SAAVEDRA</t>
        </is>
      </c>
      <c r="H398" t="inlineStr">
        <is>
          <t>O</t>
        </is>
      </c>
      <c r="I398" t="inlineStr">
        <is>
          <t>20</t>
        </is>
      </c>
      <c r="J398" t="n">
        <v>211</v>
      </c>
      <c r="K398" t="n">
        <v>229</v>
      </c>
      <c r="L398">
        <f>K398-J398</f>
        <v/>
      </c>
      <c r="M398" t="n">
        <v>18</v>
      </c>
      <c r="N398">
        <f>IF(L398&lt;&gt;M398,1,0)</f>
        <v/>
      </c>
      <c r="O398" t="n">
        <v>18</v>
      </c>
      <c r="S398" t="n">
        <v>3</v>
      </c>
      <c r="T398" s="3">
        <f>SUM(O398:S398)</f>
        <v/>
      </c>
      <c r="U398" s="3">
        <f>IF(P398&lt;8,"USTED ESTÁ AL DÍA","USTED NO ESTÁ AL DÍA")</f>
        <v/>
      </c>
      <c r="V398" s="3" t="inlineStr">
        <is>
          <t>PAGO PRESENCIAL:  05/06 de 4-6 pm (LOCAL DEL PUEBLO), PAGO YAPE: 948 227 636</t>
        </is>
      </c>
      <c r="W398" t="n">
        <v>0</v>
      </c>
      <c r="Y398">
        <f>T398+W398+X398</f>
        <v/>
      </c>
    </row>
    <row r="399" hidden="1" ht="15.75" customHeight="1" s="4">
      <c r="A399" s="3" t="n">
        <v>17293</v>
      </c>
      <c r="B399" s="3" t="inlineStr">
        <is>
          <t>11/04/2026 al 10/05/2026</t>
        </is>
      </c>
      <c r="C399" s="2" t="n">
        <v>46179</v>
      </c>
      <c r="D399" s="2" t="n">
        <v>46174</v>
      </c>
      <c r="E399" s="2" t="n">
        <v>46122</v>
      </c>
      <c r="F399" s="2" t="n">
        <v>46152</v>
      </c>
      <c r="G399" t="inlineStr">
        <is>
          <t>JAVIER MELGAREJO CASTILLO</t>
        </is>
      </c>
      <c r="H399" t="inlineStr">
        <is>
          <t>O</t>
        </is>
      </c>
      <c r="I399" t="inlineStr">
        <is>
          <t>21</t>
        </is>
      </c>
      <c r="J399" t="n">
        <v>1186</v>
      </c>
      <c r="K399" t="n">
        <v>1199</v>
      </c>
      <c r="L399">
        <f>K399-J399</f>
        <v/>
      </c>
      <c r="M399" t="n">
        <v>13</v>
      </c>
      <c r="N399">
        <f>IF(L399&lt;&gt;M399,1,0)</f>
        <v/>
      </c>
      <c r="O399" t="n">
        <v>13</v>
      </c>
      <c r="S399" t="n">
        <v>3</v>
      </c>
      <c r="T399" s="3">
        <f>SUM(O399:S399)</f>
        <v/>
      </c>
      <c r="U399" s="3">
        <f>IF(P399&lt;8,"USTED ESTÁ AL DÍA","USTED NO ESTÁ AL DÍA")</f>
        <v/>
      </c>
      <c r="V399" s="3" t="inlineStr">
        <is>
          <t>PAGO PRESENCIAL:  05/06 de 4-6 pm (LOCAL DEL PUEBLO), PAGO YAPE: 948 227 636</t>
        </is>
      </c>
      <c r="W399" t="n">
        <v>50</v>
      </c>
      <c r="X399" t="n">
        <v>50</v>
      </c>
      <c r="Y399">
        <f>T399+W399+X399</f>
        <v/>
      </c>
    </row>
    <row r="400" hidden="1" ht="15.75" customHeight="1" s="4">
      <c r="A400" s="3" t="n">
        <v>17294</v>
      </c>
      <c r="B400" s="3" t="inlineStr">
        <is>
          <t>11/04/2026 al 10/05/2026</t>
        </is>
      </c>
      <c r="C400" s="2" t="n">
        <v>46179</v>
      </c>
      <c r="D400" s="2" t="n">
        <v>46174</v>
      </c>
      <c r="E400" s="2" t="n">
        <v>46122</v>
      </c>
      <c r="F400" s="2" t="n">
        <v>46152</v>
      </c>
      <c r="G400" t="inlineStr">
        <is>
          <t>TERESA LOPEZ SAMARITANO</t>
        </is>
      </c>
      <c r="H400" t="inlineStr">
        <is>
          <t>O</t>
        </is>
      </c>
      <c r="I400" t="inlineStr">
        <is>
          <t>22</t>
        </is>
      </c>
      <c r="J400" t="n">
        <v>44</v>
      </c>
      <c r="K400" t="n">
        <v>70</v>
      </c>
      <c r="L400">
        <f>K400-J400</f>
        <v/>
      </c>
      <c r="M400" t="n">
        <v>26</v>
      </c>
      <c r="N400">
        <f>IF(L400&lt;&gt;M400,1,0)</f>
        <v/>
      </c>
      <c r="O400" t="n">
        <v>26</v>
      </c>
      <c r="R400" t="n">
        <v>25</v>
      </c>
      <c r="S400" t="n">
        <v>3</v>
      </c>
      <c r="T400" s="3">
        <f>SUM(O400:S400)</f>
        <v/>
      </c>
      <c r="U400" s="3">
        <f>IF(P400&lt;8,"USTED ESTÁ AL DÍA","USTED NO ESTÁ AL DÍA")</f>
        <v/>
      </c>
      <c r="V400" s="3" t="inlineStr">
        <is>
          <t>PAGO PRESENCIAL:  05/06 de 4-6 pm (LOCAL DEL PUEBLO), PAGO YAPE: 948 227 636</t>
        </is>
      </c>
      <c r="W400" t="n">
        <v>50</v>
      </c>
      <c r="Y400">
        <f>T400+W400+X400</f>
        <v/>
      </c>
    </row>
    <row r="401" hidden="1" ht="15.75" customHeight="1" s="4">
      <c r="A401" s="3" t="n">
        <v>17295</v>
      </c>
      <c r="B401" s="3" t="inlineStr">
        <is>
          <t>11/04/2026 al 10/05/2026</t>
        </is>
      </c>
      <c r="C401" s="2" t="n">
        <v>46179</v>
      </c>
      <c r="D401" s="2" t="n">
        <v>46174</v>
      </c>
      <c r="E401" s="2" t="n">
        <v>46122</v>
      </c>
      <c r="F401" s="2" t="n">
        <v>46152</v>
      </c>
      <c r="G401" t="inlineStr">
        <is>
          <t>FELICITA ROSALES PABLO</t>
        </is>
      </c>
      <c r="H401" t="inlineStr">
        <is>
          <t>O</t>
        </is>
      </c>
      <c r="I401" t="inlineStr">
        <is>
          <t>25</t>
        </is>
      </c>
      <c r="J401" t="n">
        <v>12</v>
      </c>
      <c r="K401" t="n">
        <v>23</v>
      </c>
      <c r="L401">
        <f>K401-J401</f>
        <v/>
      </c>
      <c r="M401" t="n">
        <v>11</v>
      </c>
      <c r="N401">
        <f>IF(L401&lt;&gt;M401,1,0)</f>
        <v/>
      </c>
      <c r="O401" t="n">
        <v>11</v>
      </c>
      <c r="R401" t="n">
        <v>25</v>
      </c>
      <c r="S401" t="n">
        <v>3</v>
      </c>
      <c r="T401" s="3">
        <f>SUM(O401:S401)</f>
        <v/>
      </c>
      <c r="U401" s="3">
        <f>IF(P401&lt;8,"USTED ESTÁ AL DÍA","USTED NO ESTÁ AL DÍA")</f>
        <v/>
      </c>
      <c r="V401" s="3" t="inlineStr">
        <is>
          <t>PAGO PRESENCIAL:  05/06 de 4-6 pm (LOCAL DEL PUEBLO), PAGO YAPE: 948 227 636</t>
        </is>
      </c>
      <c r="W401" t="n">
        <v>30</v>
      </c>
      <c r="Y401">
        <f>T401+W401+X401</f>
        <v/>
      </c>
    </row>
    <row r="402" hidden="1" ht="15.75" customHeight="1" s="4">
      <c r="A402" s="3" t="n">
        <v>17296</v>
      </c>
      <c r="B402" s="3" t="inlineStr">
        <is>
          <t>11/04/2026 al 10/05/2026</t>
        </is>
      </c>
      <c r="C402" s="2" t="n">
        <v>46179</v>
      </c>
      <c r="D402" s="2" t="n">
        <v>46174</v>
      </c>
      <c r="E402" s="2" t="n">
        <v>46122</v>
      </c>
      <c r="F402" s="2" t="n">
        <v>46152</v>
      </c>
      <c r="G402" t="inlineStr">
        <is>
          <t>MISAEL HERRERA PRINCIPE</t>
        </is>
      </c>
      <c r="H402" t="inlineStr">
        <is>
          <t>O</t>
        </is>
      </c>
      <c r="I402" t="inlineStr">
        <is>
          <t>26</t>
        </is>
      </c>
      <c r="J402" t="n">
        <v>0</v>
      </c>
      <c r="K402" t="n">
        <v>1</v>
      </c>
      <c r="L402">
        <f>K402-J402</f>
        <v/>
      </c>
      <c r="M402" t="n">
        <v>5</v>
      </c>
      <c r="O402" t="n">
        <v>5</v>
      </c>
      <c r="R402" t="n">
        <v>25</v>
      </c>
      <c r="S402" t="n">
        <v>3</v>
      </c>
      <c r="T402" s="3">
        <f>SUM(O402:S402)</f>
        <v/>
      </c>
      <c r="U402" s="3">
        <f>IF(P402&lt;8,"USTED ESTÁ AL DÍA","USTED NO ESTÁ AL DÍA")</f>
        <v/>
      </c>
      <c r="V402" s="3" t="inlineStr">
        <is>
          <t>PAGO PRESENCIAL:  05/06 de 4-6 pm (LOCAL DEL PUEBLO), PAGO YAPE: 948 227 636</t>
        </is>
      </c>
      <c r="W402" t="n">
        <v>50</v>
      </c>
      <c r="Y402">
        <f>T402+W402+X402</f>
        <v/>
      </c>
    </row>
    <row r="403" hidden="1" ht="15.75" customHeight="1" s="4">
      <c r="A403" s="3" t="n">
        <v>17297</v>
      </c>
      <c r="B403" s="3" t="inlineStr">
        <is>
          <t>11/04/2026 al 10/05/2026</t>
        </is>
      </c>
      <c r="C403" s="2" t="n">
        <v>46179</v>
      </c>
      <c r="D403" s="2" t="n">
        <v>46174</v>
      </c>
      <c r="E403" s="2" t="n">
        <v>46122</v>
      </c>
      <c r="F403" s="2" t="n">
        <v>46152</v>
      </c>
      <c r="G403" t="inlineStr">
        <is>
          <t>DANTE RUBEN MEDRANO MALLMA</t>
        </is>
      </c>
      <c r="H403" t="inlineStr">
        <is>
          <t>O</t>
        </is>
      </c>
      <c r="I403" t="inlineStr">
        <is>
          <t>27</t>
        </is>
      </c>
      <c r="J403" t="n">
        <v>1185</v>
      </c>
      <c r="K403" t="n">
        <v>1196</v>
      </c>
      <c r="L403">
        <f>K403-J403</f>
        <v/>
      </c>
      <c r="M403" t="n">
        <v>11</v>
      </c>
      <c r="N403">
        <f>IF(L403&lt;&gt;M403,1,0)</f>
        <v/>
      </c>
      <c r="O403" t="n">
        <v>11</v>
      </c>
      <c r="S403" t="n">
        <v>3</v>
      </c>
      <c r="T403" s="3">
        <f>SUM(O403:S403)</f>
        <v/>
      </c>
      <c r="U403" s="3">
        <f>IF(P403&lt;8,"USTED ESTÁ AL DÍA","USTED NO ESTÁ AL DÍA")</f>
        <v/>
      </c>
      <c r="V403" s="3" t="inlineStr">
        <is>
          <t>PAGO PRESENCIAL:  05/06 de 4-6 pm (LOCAL DEL PUEBLO), PAGO YAPE: 948 227 636</t>
        </is>
      </c>
      <c r="W403" t="n">
        <v>50</v>
      </c>
      <c r="X403" t="n">
        <v>50</v>
      </c>
      <c r="Y403">
        <f>T403+W403+X403</f>
        <v/>
      </c>
    </row>
    <row r="404" hidden="1" ht="15.75" customHeight="1" s="4">
      <c r="A404" s="3" t="n">
        <v>17298</v>
      </c>
      <c r="B404" s="3" t="inlineStr">
        <is>
          <t>11/04/2026 al 10/05/2026</t>
        </is>
      </c>
      <c r="C404" s="2" t="n">
        <v>46179</v>
      </c>
      <c r="D404" s="2" t="n">
        <v>46174</v>
      </c>
      <c r="E404" s="2" t="n">
        <v>46122</v>
      </c>
      <c r="F404" s="2" t="n">
        <v>46152</v>
      </c>
      <c r="G404" t="inlineStr">
        <is>
          <t>VIVIANA PROLEON CORREA</t>
        </is>
      </c>
      <c r="H404" t="inlineStr">
        <is>
          <t>O</t>
        </is>
      </c>
      <c r="I404" t="inlineStr">
        <is>
          <t>28</t>
        </is>
      </c>
      <c r="J404" t="n">
        <v>4</v>
      </c>
      <c r="K404" t="n">
        <v>9</v>
      </c>
      <c r="L404">
        <f>K404-J404</f>
        <v/>
      </c>
      <c r="M404" t="n">
        <v>5</v>
      </c>
      <c r="O404" t="n">
        <v>5</v>
      </c>
      <c r="S404" t="n">
        <v>3</v>
      </c>
      <c r="T404" s="3">
        <f>SUM(O404:S404)</f>
        <v/>
      </c>
      <c r="U404" s="3">
        <f>IF(P404&lt;8,"USTED ESTÁ AL DÍA","USTED NO ESTÁ AL DÍA")</f>
        <v/>
      </c>
      <c r="V404" s="3" t="inlineStr">
        <is>
          <t>PAGO PRESENCIAL:  05/06 de 4-6 pm (LOCAL DEL PUEBLO), PAGO YAPE: 948 227 636</t>
        </is>
      </c>
      <c r="Y404">
        <f>T404+W404+X404</f>
        <v/>
      </c>
    </row>
    <row r="405" hidden="1" ht="15.75" customHeight="1" s="4">
      <c r="A405" s="3" t="n">
        <v>17299</v>
      </c>
      <c r="B405" s="3" t="inlineStr">
        <is>
          <t>11/04/2026 al 10/05/2026</t>
        </is>
      </c>
      <c r="C405" s="2" t="n">
        <v>46179</v>
      </c>
      <c r="D405" s="2" t="n">
        <v>46174</v>
      </c>
      <c r="E405" s="2" t="n">
        <v>46122</v>
      </c>
      <c r="F405" s="2" t="n">
        <v>46152</v>
      </c>
      <c r="G405" t="inlineStr">
        <is>
          <t>CLARA LORENZA ARQUELIN</t>
        </is>
      </c>
      <c r="H405" t="inlineStr">
        <is>
          <t>O</t>
        </is>
      </c>
      <c r="I405" t="inlineStr">
        <is>
          <t>27A</t>
        </is>
      </c>
      <c r="J405" t="n">
        <v>188</v>
      </c>
      <c r="K405" t="n">
        <v>193</v>
      </c>
      <c r="L405">
        <f>K405-J405</f>
        <v/>
      </c>
      <c r="M405" t="n">
        <v>5</v>
      </c>
      <c r="O405" t="n">
        <v>5</v>
      </c>
      <c r="S405" t="n">
        <v>3</v>
      </c>
      <c r="T405" s="3">
        <f>SUM(O405:S405)</f>
        <v/>
      </c>
      <c r="U405" s="3">
        <f>IF(P405&lt;8,"USTED ESTÁ AL DÍA","USTED NO ESTÁ AL DÍA")</f>
        <v/>
      </c>
      <c r="V405" s="3" t="inlineStr">
        <is>
          <t>PAGO PRESENCIAL:  05/06 de 4-6 pm (LOCAL DEL PUEBLO), PAGO YAPE: 948 227 636</t>
        </is>
      </c>
      <c r="W405" t="n">
        <v>20</v>
      </c>
      <c r="X405" t="n">
        <v>50</v>
      </c>
      <c r="Y405">
        <f>T405+W405+X405</f>
        <v/>
      </c>
    </row>
    <row r="406" hidden="1" ht="15.75" customHeight="1" s="4">
      <c r="A406" s="3" t="n">
        <v>17300</v>
      </c>
      <c r="B406" s="3" t="inlineStr">
        <is>
          <t>11/04/2026 al 10/05/2026</t>
        </is>
      </c>
      <c r="C406" s="2" t="n">
        <v>46179</v>
      </c>
      <c r="D406" s="2" t="n">
        <v>46174</v>
      </c>
      <c r="E406" s="2" t="n">
        <v>46122</v>
      </c>
      <c r="F406" s="2" t="n">
        <v>46152</v>
      </c>
      <c r="G406" t="inlineStr">
        <is>
          <t>LOURDES MELCHOR ALBORNOZ</t>
        </is>
      </c>
      <c r="H406" t="inlineStr">
        <is>
          <t>P</t>
        </is>
      </c>
      <c r="I406" t="inlineStr">
        <is>
          <t>4</t>
        </is>
      </c>
      <c r="J406" t="n">
        <v>387</v>
      </c>
      <c r="K406" t="n">
        <v>421</v>
      </c>
      <c r="L406">
        <f>K406-J406</f>
        <v/>
      </c>
      <c r="M406" t="n">
        <v>34</v>
      </c>
      <c r="N406">
        <f>IF(L406&lt;&gt;M406,1,0)</f>
        <v/>
      </c>
      <c r="O406" t="n">
        <v>34</v>
      </c>
      <c r="P406" t="n">
        <v>44</v>
      </c>
      <c r="S406" t="n">
        <v>3</v>
      </c>
      <c r="T406" s="3">
        <f>SUM(O406:S406)</f>
        <v/>
      </c>
      <c r="U406" s="3">
        <f>IF(P406&lt;8,"USTED ESTÁ AL DÍA","USTED NO ESTÁ AL DÍA")</f>
        <v/>
      </c>
      <c r="V406" s="3" t="inlineStr">
        <is>
          <t>PAGO PRESENCIAL:  05/06 de 4-6 pm (LOCAL DEL PUEBLO), PAGO YAPE: 948 227 636</t>
        </is>
      </c>
      <c r="Y406">
        <f>T406+W406+X406</f>
        <v/>
      </c>
    </row>
    <row r="407" hidden="1" ht="15.75" customHeight="1" s="4">
      <c r="A407" s="3" t="n">
        <v>17301</v>
      </c>
      <c r="B407" s="3" t="inlineStr">
        <is>
          <t>11/04/2026 al 10/05/2026</t>
        </is>
      </c>
      <c r="C407" s="2" t="n">
        <v>46179</v>
      </c>
      <c r="D407" s="2" t="n">
        <v>46174</v>
      </c>
      <c r="E407" s="2" t="n">
        <v>46122</v>
      </c>
      <c r="F407" s="2" t="n">
        <v>46152</v>
      </c>
      <c r="G407" t="inlineStr">
        <is>
          <t>JUDITH VENTURO ROSALES</t>
        </is>
      </c>
      <c r="H407" t="inlineStr">
        <is>
          <t>P</t>
        </is>
      </c>
      <c r="I407" t="inlineStr">
        <is>
          <t>12</t>
        </is>
      </c>
      <c r="J407" t="n">
        <v>45</v>
      </c>
      <c r="K407" t="n">
        <v>60</v>
      </c>
      <c r="L407">
        <f>K407-J407</f>
        <v/>
      </c>
      <c r="M407" t="n">
        <v>15</v>
      </c>
      <c r="N407">
        <f>IF(L407&lt;&gt;M407,1,0)</f>
        <v/>
      </c>
      <c r="O407" t="n">
        <v>15</v>
      </c>
      <c r="P407" t="n">
        <v>24</v>
      </c>
      <c r="R407" t="n">
        <v>25</v>
      </c>
      <c r="S407" t="n">
        <v>3</v>
      </c>
      <c r="T407" s="3">
        <f>SUM(O407:S407)</f>
        <v/>
      </c>
      <c r="U407" s="3">
        <f>IF(P407&lt;8,"USTED ESTÁ AL DÍA","USTED NO ESTÁ AL DÍA")</f>
        <v/>
      </c>
      <c r="V407" s="3" t="inlineStr">
        <is>
          <t>PAGO PRESENCIAL:  05/06 de 4-6 pm (LOCAL DEL PUEBLO), PAGO YAPE: 948 227 636</t>
        </is>
      </c>
      <c r="X407" t="n">
        <v>50</v>
      </c>
      <c r="Y407">
        <f>T407+W407+X407</f>
        <v/>
      </c>
    </row>
    <row r="408" hidden="1" ht="15.75" customHeight="1" s="4">
      <c r="A408" s="3" t="n">
        <v>17302</v>
      </c>
      <c r="B408" s="3" t="inlineStr">
        <is>
          <t>11/04/2026 al 10/05/2026</t>
        </is>
      </c>
      <c r="C408" s="2" t="n">
        <v>46179</v>
      </c>
      <c r="D408" s="2" t="n">
        <v>46174</v>
      </c>
      <c r="E408" s="2" t="n">
        <v>46122</v>
      </c>
      <c r="F408" s="2" t="n">
        <v>46152</v>
      </c>
      <c r="G408" t="inlineStr">
        <is>
          <t>MAXIMO MORAN RIVERA</t>
        </is>
      </c>
      <c r="H408" t="inlineStr">
        <is>
          <t>P</t>
        </is>
      </c>
      <c r="I408" t="inlineStr">
        <is>
          <t>1</t>
        </is>
      </c>
      <c r="J408" t="n">
        <v>97</v>
      </c>
      <c r="K408" t="n">
        <v>115</v>
      </c>
      <c r="L408">
        <f>K408-J408</f>
        <v/>
      </c>
      <c r="M408" t="n">
        <v>18</v>
      </c>
      <c r="N408">
        <f>IF(L408&lt;&gt;M408,1,0)</f>
        <v/>
      </c>
      <c r="O408" t="n">
        <v>18</v>
      </c>
      <c r="S408" t="n">
        <v>3</v>
      </c>
      <c r="T408" s="3">
        <f>SUM(O408:S408)</f>
        <v/>
      </c>
      <c r="U408" s="3">
        <f>IF(P408&lt;8,"USTED ESTÁ AL DÍA","USTED NO ESTÁ AL DÍA")</f>
        <v/>
      </c>
      <c r="V408" s="3" t="inlineStr">
        <is>
          <t>PAGO PRESENCIAL:  05/06 de 4-6 pm (LOCAL DEL PUEBLO), PAGO YAPE: 948 227 636</t>
        </is>
      </c>
      <c r="Y408">
        <f>T408+W408+X408</f>
        <v/>
      </c>
    </row>
    <row r="409" hidden="1" ht="15.75" customHeight="1" s="4">
      <c r="A409" s="3" t="n">
        <v>17303</v>
      </c>
      <c r="B409" s="3" t="inlineStr">
        <is>
          <t>11/04/2026 al 10/05/2026</t>
        </is>
      </c>
      <c r="C409" s="2" t="n">
        <v>46179</v>
      </c>
      <c r="D409" s="2" t="n">
        <v>46174</v>
      </c>
      <c r="E409" s="2" t="n">
        <v>46122</v>
      </c>
      <c r="F409" s="2" t="n">
        <v>46152</v>
      </c>
      <c r="G409" t="inlineStr">
        <is>
          <t>ALFREDO JARA TRUJILLO</t>
        </is>
      </c>
      <c r="H409" t="inlineStr">
        <is>
          <t>P</t>
        </is>
      </c>
      <c r="I409" t="inlineStr">
        <is>
          <t>2</t>
        </is>
      </c>
      <c r="J409" t="n">
        <v>615</v>
      </c>
      <c r="K409" t="n">
        <v>629</v>
      </c>
      <c r="L409">
        <f>K409-J409</f>
        <v/>
      </c>
      <c r="M409" t="n">
        <v>14</v>
      </c>
      <c r="N409">
        <f>IF(L409&lt;&gt;M409,1,0)</f>
        <v/>
      </c>
      <c r="O409" t="n">
        <v>14</v>
      </c>
      <c r="S409" t="n">
        <v>3</v>
      </c>
      <c r="T409" s="3">
        <f>SUM(O409:S409)</f>
        <v/>
      </c>
      <c r="U409" s="3">
        <f>IF(P409&lt;8,"USTED ESTÁ AL DÍA","USTED NO ESTÁ AL DÍA")</f>
        <v/>
      </c>
      <c r="V409" s="3" t="inlineStr">
        <is>
          <t>PAGO PRESENCIAL:  05/06 de 4-6 pm (LOCAL DEL PUEBLO), PAGO YAPE: 948 227 636</t>
        </is>
      </c>
      <c r="Y409">
        <f>T409+W409+X409</f>
        <v/>
      </c>
    </row>
    <row r="410" hidden="1" ht="15.75" customHeight="1" s="4">
      <c r="A410" s="3" t="n">
        <v>17304</v>
      </c>
      <c r="B410" s="3" t="inlineStr">
        <is>
          <t>11/04/2026 al 10/05/2026</t>
        </is>
      </c>
      <c r="C410" s="2" t="n">
        <v>46179</v>
      </c>
      <c r="D410" s="2" t="n">
        <v>46174</v>
      </c>
      <c r="E410" s="2" t="n">
        <v>46122</v>
      </c>
      <c r="F410" s="2" t="n">
        <v>46152</v>
      </c>
      <c r="G410" t="inlineStr">
        <is>
          <t>ALFREDO MONTALVO COSME</t>
        </is>
      </c>
      <c r="H410" t="inlineStr">
        <is>
          <t>P</t>
        </is>
      </c>
      <c r="I410" t="inlineStr">
        <is>
          <t>3</t>
        </is>
      </c>
      <c r="J410" t="n">
        <v>35</v>
      </c>
      <c r="K410" t="n">
        <v>50</v>
      </c>
      <c r="L410">
        <f>K410-J410</f>
        <v/>
      </c>
      <c r="M410" t="n">
        <v>15</v>
      </c>
      <c r="N410">
        <f>IF(L410&lt;&gt;M410,1,0)</f>
        <v/>
      </c>
      <c r="O410" t="n">
        <v>15</v>
      </c>
      <c r="R410" t="n">
        <v>25</v>
      </c>
      <c r="S410" t="n">
        <v>3</v>
      </c>
      <c r="T410" s="3">
        <f>SUM(O410:S410)</f>
        <v/>
      </c>
      <c r="U410" s="3">
        <f>IF(P410&lt;8,"USTED ESTÁ AL DÍA","USTED NO ESTÁ AL DÍA")</f>
        <v/>
      </c>
      <c r="V410" s="3" t="inlineStr">
        <is>
          <t>PAGO PRESENCIAL:  05/06 de 4-6 pm (LOCAL DEL PUEBLO), PAGO YAPE: 948 227 636</t>
        </is>
      </c>
      <c r="Y410">
        <f>T410+W410+X410</f>
        <v/>
      </c>
    </row>
    <row r="411" hidden="1" ht="15.75" customHeight="1" s="4">
      <c r="A411" s="3" t="n">
        <v>17305</v>
      </c>
      <c r="B411" s="3" t="inlineStr">
        <is>
          <t>11/04/2026 al 10/05/2026</t>
        </is>
      </c>
      <c r="C411" s="2" t="n">
        <v>46179</v>
      </c>
      <c r="D411" s="2" t="n">
        <v>46174</v>
      </c>
      <c r="E411" s="2" t="n">
        <v>46122</v>
      </c>
      <c r="F411" s="2" t="n">
        <v>46152</v>
      </c>
      <c r="G411" t="inlineStr">
        <is>
          <t>ANDRES ROMERO MELGAREJO</t>
        </is>
      </c>
      <c r="H411" t="inlineStr">
        <is>
          <t>P</t>
        </is>
      </c>
      <c r="I411" t="inlineStr">
        <is>
          <t>5</t>
        </is>
      </c>
      <c r="J411" t="n">
        <v>179</v>
      </c>
      <c r="K411" t="n">
        <v>185</v>
      </c>
      <c r="L411">
        <f>K411-J411</f>
        <v/>
      </c>
      <c r="M411" t="n">
        <v>6</v>
      </c>
      <c r="N411">
        <f>IF(L411&lt;&gt;M411,1,0)</f>
        <v/>
      </c>
      <c r="O411" t="n">
        <v>6</v>
      </c>
      <c r="S411" t="n">
        <v>3</v>
      </c>
      <c r="T411" s="3">
        <f>SUM(O411:S411)</f>
        <v/>
      </c>
      <c r="U411" s="3">
        <f>IF(P411&lt;8,"USTED ESTÁ AL DÍA","USTED NO ESTÁ AL DÍA")</f>
        <v/>
      </c>
      <c r="V411" s="3" t="inlineStr">
        <is>
          <t>PAGO PRESENCIAL:  05/06 de 4-6 pm (LOCAL DEL PUEBLO), PAGO YAPE: 948 227 636</t>
        </is>
      </c>
      <c r="W411" t="n">
        <v>50</v>
      </c>
      <c r="Y411">
        <f>T411+W411+X411</f>
        <v/>
      </c>
    </row>
    <row r="412" hidden="1" ht="15.75" customHeight="1" s="4">
      <c r="A412" s="3" t="n">
        <v>17306</v>
      </c>
      <c r="B412" s="3" t="inlineStr">
        <is>
          <t>11/04/2026 al 10/05/2026</t>
        </is>
      </c>
      <c r="C412" s="2" t="n">
        <v>46179</v>
      </c>
      <c r="D412" s="2" t="n">
        <v>46174</v>
      </c>
      <c r="E412" s="2" t="n">
        <v>46122</v>
      </c>
      <c r="F412" s="2" t="n">
        <v>46152</v>
      </c>
      <c r="G412" t="inlineStr">
        <is>
          <t>HIPOLITO MELGAREJO MENDOZA</t>
        </is>
      </c>
      <c r="H412" t="inlineStr">
        <is>
          <t>P</t>
        </is>
      </c>
      <c r="I412" t="inlineStr">
        <is>
          <t>7</t>
        </is>
      </c>
      <c r="J412" t="n">
        <v>1340</v>
      </c>
      <c r="K412" t="n">
        <v>1361</v>
      </c>
      <c r="L412">
        <f>K412-J412</f>
        <v/>
      </c>
      <c r="M412" t="n">
        <v>21</v>
      </c>
      <c r="N412">
        <f>IF(L412&lt;&gt;M412,1,0)</f>
        <v/>
      </c>
      <c r="O412" t="n">
        <v>21</v>
      </c>
      <c r="S412" t="n">
        <v>3</v>
      </c>
      <c r="T412" s="3">
        <f>SUM(O412:S412)</f>
        <v/>
      </c>
      <c r="U412" s="3">
        <f>IF(P412&lt;8,"USTED ESTÁ AL DÍA","USTED NO ESTÁ AL DÍA")</f>
        <v/>
      </c>
      <c r="V412" s="3" t="inlineStr">
        <is>
          <t>PAGO PRESENCIAL:  05/06 de 4-6 pm (LOCAL DEL PUEBLO), PAGO YAPE: 948 227 636</t>
        </is>
      </c>
      <c r="Y412">
        <f>T412+W412+X412</f>
        <v/>
      </c>
    </row>
    <row r="413" hidden="1" ht="15.75" customHeight="1" s="4">
      <c r="A413" s="3" t="n">
        <v>17307</v>
      </c>
      <c r="B413" s="3" t="inlineStr">
        <is>
          <t>11/04/2026 al 10/05/2026</t>
        </is>
      </c>
      <c r="C413" s="2" t="n">
        <v>46179</v>
      </c>
      <c r="D413" s="2" t="n">
        <v>46174</v>
      </c>
      <c r="E413" s="2" t="n">
        <v>46122</v>
      </c>
      <c r="F413" s="2" t="n">
        <v>46152</v>
      </c>
      <c r="G413" t="inlineStr">
        <is>
          <t>EUSEBIO CAURINO PEÑA</t>
        </is>
      </c>
      <c r="H413" t="inlineStr">
        <is>
          <t>P</t>
        </is>
      </c>
      <c r="I413" t="inlineStr">
        <is>
          <t>8</t>
        </is>
      </c>
      <c r="J413" t="n">
        <v>32</v>
      </c>
      <c r="K413" t="n">
        <v>47</v>
      </c>
      <c r="L413">
        <f>K413-J413</f>
        <v/>
      </c>
      <c r="M413" t="n">
        <v>15</v>
      </c>
      <c r="N413">
        <f>IF(L413&lt;&gt;M413,1,0)</f>
        <v/>
      </c>
      <c r="O413" t="n">
        <v>15</v>
      </c>
      <c r="R413" t="n">
        <v>25</v>
      </c>
      <c r="S413" t="n">
        <v>3</v>
      </c>
      <c r="T413" s="3">
        <f>SUM(O413:S413)</f>
        <v/>
      </c>
      <c r="U413" s="3">
        <f>IF(P413&lt;8,"USTED ESTÁ AL DÍA","USTED NO ESTÁ AL DÍA")</f>
        <v/>
      </c>
      <c r="V413" s="3" t="inlineStr">
        <is>
          <t>PAGO PRESENCIAL:  05/06 de 4-6 pm (LOCAL DEL PUEBLO), PAGO YAPE: 948 227 636</t>
        </is>
      </c>
      <c r="W413" t="n">
        <v>50</v>
      </c>
      <c r="X413" t="n">
        <v>75</v>
      </c>
      <c r="Y413">
        <f>T413+W413+X413</f>
        <v/>
      </c>
    </row>
    <row r="414" hidden="1" ht="15.75" customHeight="1" s="4">
      <c r="A414" s="3" t="n">
        <v>17308</v>
      </c>
      <c r="B414" s="3" t="inlineStr">
        <is>
          <t>11/04/2026 al 10/05/2026</t>
        </is>
      </c>
      <c r="C414" s="2" t="n">
        <v>46179</v>
      </c>
      <c r="D414" s="2" t="n">
        <v>46174</v>
      </c>
      <c r="E414" s="2" t="n">
        <v>46122</v>
      </c>
      <c r="F414" s="2" t="n">
        <v>46152</v>
      </c>
      <c r="G414" t="inlineStr">
        <is>
          <t>CIRIA ESCUDERO PROLEON</t>
        </is>
      </c>
      <c r="H414" t="inlineStr">
        <is>
          <t>P</t>
        </is>
      </c>
      <c r="I414" t="inlineStr">
        <is>
          <t>10</t>
        </is>
      </c>
      <c r="J414" t="n">
        <v>739</v>
      </c>
      <c r="K414" t="n">
        <v>745</v>
      </c>
      <c r="L414">
        <f>K414-J414</f>
        <v/>
      </c>
      <c r="M414" t="n">
        <v>6</v>
      </c>
      <c r="N414">
        <f>IF(L414&lt;&gt;M414,1,0)</f>
        <v/>
      </c>
      <c r="O414" t="n">
        <v>6</v>
      </c>
      <c r="S414" t="n">
        <v>3</v>
      </c>
      <c r="T414" s="3">
        <f>SUM(O414:S414)</f>
        <v/>
      </c>
      <c r="U414" s="3">
        <f>IF(P414&lt;8,"USTED ESTÁ AL DÍA","USTED NO ESTÁ AL DÍA")</f>
        <v/>
      </c>
      <c r="V414" s="3" t="inlineStr">
        <is>
          <t>PAGO PRESENCIAL:  05/06 de 4-6 pm (LOCAL DEL PUEBLO), PAGO YAPE: 948 227 636</t>
        </is>
      </c>
      <c r="W414" t="n">
        <v>50</v>
      </c>
      <c r="Y414">
        <f>T414+W414+X414</f>
        <v/>
      </c>
    </row>
    <row r="415" hidden="1" ht="15.75" customHeight="1" s="4">
      <c r="A415" s="3" t="n">
        <v>17309</v>
      </c>
      <c r="B415" s="3" t="inlineStr">
        <is>
          <t>11/04/2026 al 10/05/2026</t>
        </is>
      </c>
      <c r="C415" s="2" t="n">
        <v>46179</v>
      </c>
      <c r="D415" s="2" t="n">
        <v>46174</v>
      </c>
      <c r="E415" s="2" t="n">
        <v>46122</v>
      </c>
      <c r="F415" s="2" t="n">
        <v>46152</v>
      </c>
      <c r="G415" t="inlineStr">
        <is>
          <t>VICTOR SOLORZANO ROSALES</t>
        </is>
      </c>
      <c r="H415" t="inlineStr">
        <is>
          <t>P</t>
        </is>
      </c>
      <c r="I415" t="inlineStr">
        <is>
          <t>11</t>
        </is>
      </c>
      <c r="J415" t="n">
        <v>16</v>
      </c>
      <c r="K415" t="n">
        <v>26</v>
      </c>
      <c r="L415">
        <f>K415-J415</f>
        <v/>
      </c>
      <c r="M415" t="n">
        <v>10</v>
      </c>
      <c r="N415">
        <f>IF(L415&lt;&gt;M415,1,0)</f>
        <v/>
      </c>
      <c r="O415" t="n">
        <v>10</v>
      </c>
      <c r="R415" t="n">
        <v>25</v>
      </c>
      <c r="S415" t="n">
        <v>3</v>
      </c>
      <c r="T415" s="3">
        <f>SUM(O415:S415)</f>
        <v/>
      </c>
      <c r="U415" s="3">
        <f>IF(P415&lt;8,"USTED ESTÁ AL DÍA","USTED NO ESTÁ AL DÍA")</f>
        <v/>
      </c>
      <c r="V415" s="3" t="inlineStr">
        <is>
          <t>PAGO PRESENCIAL:  05/06 de 4-6 pm (LOCAL DEL PUEBLO), PAGO YAPE: 948 227 636</t>
        </is>
      </c>
      <c r="X415" t="n">
        <v>75</v>
      </c>
      <c r="Y415">
        <f>T415+W415+X415</f>
        <v/>
      </c>
    </row>
    <row r="416" hidden="1" ht="15.75" customHeight="1" s="4">
      <c r="A416" s="3" t="n">
        <v>17310</v>
      </c>
      <c r="B416" s="3" t="inlineStr">
        <is>
          <t>11/04/2026 al 10/05/2026</t>
        </is>
      </c>
      <c r="C416" s="2" t="n">
        <v>46179</v>
      </c>
      <c r="D416" s="2" t="n">
        <v>46174</v>
      </c>
      <c r="E416" s="2" t="n">
        <v>46122</v>
      </c>
      <c r="F416" s="2" t="n">
        <v>46152</v>
      </c>
      <c r="G416" t="inlineStr">
        <is>
          <t>BENITA MARGARITA TAHUA OROPEZA</t>
        </is>
      </c>
      <c r="H416" t="inlineStr">
        <is>
          <t>P</t>
        </is>
      </c>
      <c r="I416" t="inlineStr">
        <is>
          <t>13</t>
        </is>
      </c>
      <c r="J416" t="n">
        <v>17</v>
      </c>
      <c r="K416" t="n">
        <v>25</v>
      </c>
      <c r="L416">
        <f>K416-J416</f>
        <v/>
      </c>
      <c r="M416" t="n">
        <v>8</v>
      </c>
      <c r="N416">
        <f>IF(L416&lt;&gt;M416,1,0)</f>
        <v/>
      </c>
      <c r="O416" t="n">
        <v>8</v>
      </c>
      <c r="S416" t="n">
        <v>3</v>
      </c>
      <c r="T416" s="3">
        <f>SUM(O416:S416)</f>
        <v/>
      </c>
      <c r="U416" s="3">
        <f>IF(P416&lt;8,"USTED ESTÁ AL DÍA","USTED NO ESTÁ AL DÍA")</f>
        <v/>
      </c>
      <c r="V416" s="3" t="inlineStr">
        <is>
          <t>PAGO PRESENCIAL:  05/06 de 4-6 pm (LOCAL DEL PUEBLO), PAGO YAPE: 948 227 636</t>
        </is>
      </c>
      <c r="W416" t="n">
        <v>30</v>
      </c>
      <c r="X416" t="n">
        <v>75</v>
      </c>
      <c r="Y416">
        <f>T416+W416+X416</f>
        <v/>
      </c>
    </row>
    <row r="417" hidden="1" ht="15.75" customHeight="1" s="4">
      <c r="A417" s="3" t="n">
        <v>17311</v>
      </c>
      <c r="B417" s="3" t="inlineStr">
        <is>
          <t>11/04/2026 al 10/05/2026</t>
        </is>
      </c>
      <c r="C417" s="2" t="n">
        <v>46179</v>
      </c>
      <c r="D417" s="2" t="n">
        <v>46174</v>
      </c>
      <c r="E417" s="2" t="n">
        <v>46122</v>
      </c>
      <c r="F417" s="2" t="n">
        <v>46152</v>
      </c>
      <c r="G417" t="inlineStr">
        <is>
          <t>JUANA VICTORIA ARMAS HUARCA</t>
        </is>
      </c>
      <c r="H417" t="inlineStr">
        <is>
          <t>P</t>
        </is>
      </c>
      <c r="I417" t="inlineStr">
        <is>
          <t>14</t>
        </is>
      </c>
      <c r="J417" t="n">
        <v>164</v>
      </c>
      <c r="K417" t="n">
        <v>167</v>
      </c>
      <c r="L417">
        <f>K417-J417</f>
        <v/>
      </c>
      <c r="M417" t="n">
        <v>5</v>
      </c>
      <c r="O417" t="n">
        <v>5</v>
      </c>
      <c r="S417" t="n">
        <v>3</v>
      </c>
      <c r="T417" s="3">
        <f>SUM(O417:S417)</f>
        <v/>
      </c>
      <c r="U417" s="3">
        <f>IF(P417&lt;8,"USTED ESTÁ AL DÍA","USTED NO ESTÁ AL DÍA")</f>
        <v/>
      </c>
      <c r="V417" s="3" t="inlineStr">
        <is>
          <t>PAGO PRESENCIAL:  05/06 de 4-6 pm (LOCAL DEL PUEBLO), PAGO YAPE: 948 227 636</t>
        </is>
      </c>
      <c r="X417" t="n">
        <v>75</v>
      </c>
      <c r="Y417">
        <f>T417+W417+X417</f>
        <v/>
      </c>
    </row>
    <row r="418" hidden="1" ht="15.75" customHeight="1" s="4">
      <c r="A418" s="3" t="n">
        <v>17312</v>
      </c>
      <c r="B418" s="3" t="inlineStr">
        <is>
          <t>11/04/2026 al 10/05/2026</t>
        </is>
      </c>
      <c r="C418" s="2" t="n">
        <v>46179</v>
      </c>
      <c r="D418" s="2" t="n">
        <v>46174</v>
      </c>
      <c r="E418" s="2" t="n">
        <v>46122</v>
      </c>
      <c r="F418" s="2" t="n">
        <v>46152</v>
      </c>
      <c r="G418" t="inlineStr">
        <is>
          <t>RUFINA FRANCISCO JIMENEZ</t>
        </is>
      </c>
      <c r="H418" t="inlineStr">
        <is>
          <t>P</t>
        </is>
      </c>
      <c r="I418" t="inlineStr">
        <is>
          <t>15</t>
        </is>
      </c>
      <c r="J418" t="n">
        <v>1336</v>
      </c>
      <c r="K418" t="n">
        <v>1345</v>
      </c>
      <c r="L418">
        <f>K418-J418</f>
        <v/>
      </c>
      <c r="M418" t="n">
        <v>9</v>
      </c>
      <c r="N418">
        <f>IF(L418&lt;&gt;M418,1,0)</f>
        <v/>
      </c>
      <c r="O418" t="n">
        <v>9</v>
      </c>
      <c r="S418" t="n">
        <v>3</v>
      </c>
      <c r="T418" s="3">
        <f>SUM(O418:S418)</f>
        <v/>
      </c>
      <c r="U418" s="3">
        <f>IF(P418&lt;8,"USTED ESTÁ AL DÍA","USTED NO ESTÁ AL DÍA")</f>
        <v/>
      </c>
      <c r="V418" s="3" t="inlineStr">
        <is>
          <t>PAGO PRESENCIAL:  05/06 de 4-6 pm (LOCAL DEL PUEBLO), PAGO YAPE: 948 227 636</t>
        </is>
      </c>
      <c r="X418" t="n">
        <v>75</v>
      </c>
      <c r="Y418">
        <f>T418+W418+X418</f>
        <v/>
      </c>
    </row>
    <row r="419" hidden="1" ht="15.75" customHeight="1" s="4">
      <c r="A419" s="3" t="n">
        <v>17313</v>
      </c>
      <c r="B419" s="3" t="inlineStr">
        <is>
          <t>11/04/2026 al 10/05/2026</t>
        </is>
      </c>
      <c r="C419" s="2" t="n">
        <v>46179</v>
      </c>
      <c r="D419" s="2" t="n">
        <v>46174</v>
      </c>
      <c r="E419" s="2" t="n">
        <v>46122</v>
      </c>
      <c r="F419" s="2" t="n">
        <v>46152</v>
      </c>
      <c r="G419" t="inlineStr">
        <is>
          <t>MAURICIA C. DURAND VALLADARES</t>
        </is>
      </c>
      <c r="H419" t="inlineStr">
        <is>
          <t>P</t>
        </is>
      </c>
      <c r="I419" t="inlineStr">
        <is>
          <t>17</t>
        </is>
      </c>
      <c r="J419" t="n">
        <v>117</v>
      </c>
      <c r="K419" t="n">
        <v>125</v>
      </c>
      <c r="L419">
        <f>K419-J419</f>
        <v/>
      </c>
      <c r="M419" t="n">
        <v>8</v>
      </c>
      <c r="N419">
        <f>IF(L419&lt;&gt;M419,1,0)</f>
        <v/>
      </c>
      <c r="O419" t="n">
        <v>8</v>
      </c>
      <c r="S419" t="n">
        <v>3</v>
      </c>
      <c r="T419" s="3">
        <f>SUM(O419:S419)</f>
        <v/>
      </c>
      <c r="U419" s="3">
        <f>IF(P419&lt;8,"USTED ESTÁ AL DÍA","USTED NO ESTÁ AL DÍA")</f>
        <v/>
      </c>
      <c r="V419" s="3" t="inlineStr">
        <is>
          <t>PAGO PRESENCIAL:  05/06 de 4-6 pm (LOCAL DEL PUEBLO), PAGO YAPE: 948 227 636</t>
        </is>
      </c>
      <c r="X419" t="n">
        <v>50</v>
      </c>
      <c r="Y419">
        <f>T419+W419+X419</f>
        <v/>
      </c>
    </row>
    <row r="420" hidden="1" ht="15.75" customHeight="1" s="4">
      <c r="A420" s="3" t="n">
        <v>17314</v>
      </c>
      <c r="B420" s="3" t="inlineStr">
        <is>
          <t>11/04/2026 al 10/05/2026</t>
        </is>
      </c>
      <c r="C420" s="2" t="n">
        <v>46179</v>
      </c>
      <c r="D420" s="2" t="n">
        <v>46174</v>
      </c>
      <c r="E420" s="2" t="n">
        <v>46122</v>
      </c>
      <c r="F420" s="2" t="n">
        <v>46152</v>
      </c>
      <c r="G420" t="inlineStr">
        <is>
          <t>CALIXTO BLAS TRUJILLO</t>
        </is>
      </c>
      <c r="H420" t="inlineStr">
        <is>
          <t>P</t>
        </is>
      </c>
      <c r="I420" t="inlineStr">
        <is>
          <t>18</t>
        </is>
      </c>
      <c r="J420" t="n">
        <v>98</v>
      </c>
      <c r="K420" t="n">
        <v>104</v>
      </c>
      <c r="L420">
        <f>K420-J420</f>
        <v/>
      </c>
      <c r="M420" t="n">
        <v>6</v>
      </c>
      <c r="N420">
        <f>IF(L420&lt;&gt;M420,1,0)</f>
        <v/>
      </c>
      <c r="O420" t="n">
        <v>6</v>
      </c>
      <c r="S420" t="n">
        <v>3</v>
      </c>
      <c r="T420" s="3">
        <f>SUM(O420:S420)</f>
        <v/>
      </c>
      <c r="U420" s="3">
        <f>IF(P420&lt;8,"USTED ESTÁ AL DÍA","USTED NO ESTÁ AL DÍA")</f>
        <v/>
      </c>
      <c r="V420" s="3" t="inlineStr">
        <is>
          <t>PAGO PRESENCIAL:  05/06 de 4-6 pm (LOCAL DEL PUEBLO), PAGO YAPE: 948 227 636</t>
        </is>
      </c>
      <c r="X420" t="n">
        <v>25</v>
      </c>
      <c r="Y420">
        <f>T420+W420+X420</f>
        <v/>
      </c>
    </row>
    <row r="421" hidden="1" ht="15.75" customHeight="1" s="4">
      <c r="A421" s="3" t="n">
        <v>17315</v>
      </c>
      <c r="B421" s="3" t="inlineStr">
        <is>
          <t>11/04/2026 al 10/05/2026</t>
        </is>
      </c>
      <c r="C421" s="2" t="n">
        <v>46179</v>
      </c>
      <c r="D421" s="2" t="n">
        <v>46174</v>
      </c>
      <c r="E421" s="2" t="n">
        <v>46122</v>
      </c>
      <c r="F421" s="2" t="n">
        <v>46152</v>
      </c>
      <c r="G421" t="inlineStr">
        <is>
          <t>LEONCIO BLAS QUISPE</t>
        </is>
      </c>
      <c r="H421" t="inlineStr">
        <is>
          <t>P</t>
        </is>
      </c>
      <c r="I421" t="inlineStr">
        <is>
          <t>19</t>
        </is>
      </c>
      <c r="J421" t="n">
        <v>27</v>
      </c>
      <c r="K421" t="n">
        <v>38</v>
      </c>
      <c r="L421">
        <f>K421-J421</f>
        <v/>
      </c>
      <c r="M421" t="n">
        <v>11</v>
      </c>
      <c r="N421">
        <f>IF(L421&lt;&gt;M421,1,0)</f>
        <v/>
      </c>
      <c r="O421" t="n">
        <v>11</v>
      </c>
      <c r="S421" t="n">
        <v>3</v>
      </c>
      <c r="T421" s="3">
        <f>SUM(O421:S421)</f>
        <v/>
      </c>
      <c r="U421" s="3">
        <f>IF(P421&lt;8,"USTED ESTÁ AL DÍA","USTED NO ESTÁ AL DÍA")</f>
        <v/>
      </c>
      <c r="V421" s="3" t="inlineStr">
        <is>
          <t>PAGO PRESENCIAL:  05/06 de 4-6 pm (LOCAL DEL PUEBLO), PAGO YAPE: 948 227 636</t>
        </is>
      </c>
      <c r="Y421">
        <f>T421+W421+X421</f>
        <v/>
      </c>
    </row>
    <row r="422" hidden="1" ht="15.75" customHeight="1" s="4">
      <c r="A422" s="3" t="n">
        <v>17316</v>
      </c>
      <c r="B422" s="3" t="inlineStr">
        <is>
          <t>11/04/2026 al 10/05/2026</t>
        </is>
      </c>
      <c r="C422" s="2" t="n">
        <v>46179</v>
      </c>
      <c r="D422" s="2" t="n">
        <v>46174</v>
      </c>
      <c r="E422" s="2" t="n">
        <v>46122</v>
      </c>
      <c r="F422" s="2" t="n">
        <v>46152</v>
      </c>
      <c r="G422" t="inlineStr">
        <is>
          <t>JULIA ROSALES CULLA</t>
        </is>
      </c>
      <c r="H422" t="inlineStr">
        <is>
          <t>P</t>
        </is>
      </c>
      <c r="I422" t="inlineStr">
        <is>
          <t>11A</t>
        </is>
      </c>
      <c r="J422" t="n">
        <v>274</v>
      </c>
      <c r="K422" t="n">
        <v>286</v>
      </c>
      <c r="L422">
        <f>K422-J422</f>
        <v/>
      </c>
      <c r="M422" t="n">
        <v>12</v>
      </c>
      <c r="N422">
        <f>IF(L422&lt;&gt;M422,1,0)</f>
        <v/>
      </c>
      <c r="O422" t="n">
        <v>12</v>
      </c>
      <c r="S422" t="n">
        <v>3</v>
      </c>
      <c r="T422" s="3">
        <f>SUM(O422:S422)</f>
        <v/>
      </c>
      <c r="U422" s="3">
        <f>IF(P422&lt;8,"USTED ESTÁ AL DÍA","USTED NO ESTÁ AL DÍA")</f>
        <v/>
      </c>
      <c r="V422" s="3" t="inlineStr">
        <is>
          <t>PAGO PRESENCIAL:  05/06 de 4-6 pm (LOCAL DEL PUEBLO), PAGO YAPE: 948 227 636</t>
        </is>
      </c>
      <c r="Y422">
        <f>T422+W422+X422</f>
        <v/>
      </c>
    </row>
    <row r="423" hidden="1" ht="15.75" customHeight="1" s="4">
      <c r="A423" s="3" t="n">
        <v>17317</v>
      </c>
      <c r="B423" s="3" t="inlineStr">
        <is>
          <t>11/04/2026 al 10/05/2026</t>
        </is>
      </c>
      <c r="C423" s="2" t="n">
        <v>46179</v>
      </c>
      <c r="D423" s="2" t="n">
        <v>46174</v>
      </c>
      <c r="E423" s="2" t="n">
        <v>46122</v>
      </c>
      <c r="F423" s="2" t="n">
        <v>46152</v>
      </c>
      <c r="G423" t="inlineStr">
        <is>
          <t>FLOR VALDIVIA MILLA</t>
        </is>
      </c>
      <c r="H423" t="inlineStr">
        <is>
          <t>P</t>
        </is>
      </c>
      <c r="I423" t="inlineStr">
        <is>
          <t>6</t>
        </is>
      </c>
      <c r="K423" t="n">
        <v>1</v>
      </c>
      <c r="L423">
        <f>K423-J423</f>
        <v/>
      </c>
      <c r="M423" t="n">
        <v>5</v>
      </c>
      <c r="O423" t="n">
        <v>5</v>
      </c>
      <c r="S423" t="n">
        <v>3</v>
      </c>
      <c r="T423" s="3">
        <f>SUM(O423:S423)</f>
        <v/>
      </c>
      <c r="U423" s="3">
        <f>IF(P423&lt;8,"USTED ESTÁ AL DÍA","USTED NO ESTÁ AL DÍA")</f>
        <v/>
      </c>
      <c r="V423" s="3" t="inlineStr">
        <is>
          <t>PAGO PRESENCIAL:  05/06 de 4-6 pm (LOCAL DEL PUEBLO), PAGO YAPE: 948 227 636</t>
        </is>
      </c>
      <c r="X423" t="n">
        <v>75</v>
      </c>
      <c r="Y423">
        <f>T423+W423+X423</f>
        <v/>
      </c>
    </row>
    <row r="424" hidden="1" ht="15.75" customHeight="1" s="4">
      <c r="A424" s="3" t="n">
        <v>17318</v>
      </c>
      <c r="B424" s="3" t="inlineStr">
        <is>
          <t>11/04/2026 al 10/05/2026</t>
        </is>
      </c>
      <c r="C424" s="2" t="n">
        <v>46179</v>
      </c>
      <c r="D424" s="2" t="n">
        <v>46174</v>
      </c>
      <c r="E424" s="2" t="n">
        <v>46122</v>
      </c>
      <c r="F424" s="2" t="n">
        <v>46152</v>
      </c>
      <c r="G424" t="inlineStr">
        <is>
          <t>RAUL BENITO QUISPE BARRERA</t>
        </is>
      </c>
      <c r="H424" t="inlineStr">
        <is>
          <t>P</t>
        </is>
      </c>
      <c r="I424" t="inlineStr">
        <is>
          <t>9</t>
        </is>
      </c>
      <c r="K424" t="n">
        <v>8</v>
      </c>
      <c r="L424">
        <f>K424-J424</f>
        <v/>
      </c>
      <c r="M424" t="n">
        <v>8</v>
      </c>
      <c r="N424">
        <f>IF(L424&lt;&gt;M424,1,0)</f>
        <v/>
      </c>
      <c r="O424" t="n">
        <v>8</v>
      </c>
      <c r="S424" t="n">
        <v>3</v>
      </c>
      <c r="T424" s="3">
        <f>SUM(O424:S424)</f>
        <v/>
      </c>
      <c r="U424" s="3">
        <f>IF(P424&lt;8,"USTED ESTÁ AL DÍA","USTED NO ESTÁ AL DÍA")</f>
        <v/>
      </c>
      <c r="V424" s="3" t="inlineStr">
        <is>
          <t>PAGO PRESENCIAL:  05/06 de 4-6 pm (LOCAL DEL PUEBLO), PAGO YAPE: 948 227 636</t>
        </is>
      </c>
      <c r="W424" t="n">
        <v>50</v>
      </c>
      <c r="Y424">
        <f>T424+W424+X424</f>
        <v/>
      </c>
    </row>
    <row r="425" hidden="1" ht="15.75" customHeight="1" s="4">
      <c r="A425" s="3" t="n">
        <v>17319</v>
      </c>
      <c r="B425" s="3" t="inlineStr">
        <is>
          <t>11/04/2026 al 10/05/2026</t>
        </is>
      </c>
      <c r="C425" s="2" t="n">
        <v>46179</v>
      </c>
      <c r="D425" s="2" t="n">
        <v>46174</v>
      </c>
      <c r="E425" s="2" t="n">
        <v>46122</v>
      </c>
      <c r="F425" s="2" t="n">
        <v>46152</v>
      </c>
      <c r="G425" t="inlineStr">
        <is>
          <t>GILVERTO CLEVER SANCHEZ MEZA</t>
        </is>
      </c>
      <c r="H425" t="inlineStr">
        <is>
          <t>P</t>
        </is>
      </c>
      <c r="I425" t="inlineStr">
        <is>
          <t>11-B</t>
        </is>
      </c>
      <c r="L425">
        <f>K425-J425</f>
        <v/>
      </c>
      <c r="S425" t="n">
        <v>0</v>
      </c>
      <c r="T425" s="3">
        <f>SUM(O425:S425)</f>
        <v/>
      </c>
      <c r="U425" s="3">
        <f>IF(P425&lt;8,"USTED ESTÁ AL DÍA","USTED NO ESTÁ AL DÍA")</f>
        <v/>
      </c>
      <c r="V425" s="3" t="inlineStr">
        <is>
          <t>PAGO PRESENCIAL:  05/06 de 4-6 pm (LOCAL DEL PUEBLO), PAGO YAPE: 948 227 636</t>
        </is>
      </c>
      <c r="W425" t="n">
        <v>50</v>
      </c>
      <c r="Y425">
        <f>T425+W425+X425</f>
        <v/>
      </c>
    </row>
    <row r="426" hidden="1" ht="15.75" customHeight="1" s="4">
      <c r="A426" s="3" t="n">
        <v>17320</v>
      </c>
      <c r="B426" s="3" t="inlineStr">
        <is>
          <t>11/04/2026 al 10/05/2026</t>
        </is>
      </c>
      <c r="C426" s="2" t="n">
        <v>46179</v>
      </c>
      <c r="D426" s="2" t="n">
        <v>46174</v>
      </c>
      <c r="E426" s="2" t="n">
        <v>46122</v>
      </c>
      <c r="F426" s="2" t="n">
        <v>46152</v>
      </c>
      <c r="G426" t="inlineStr">
        <is>
          <t>RAUL ROMERO MAYO</t>
        </is>
      </c>
      <c r="H426" t="inlineStr">
        <is>
          <t>P</t>
        </is>
      </c>
      <c r="I426" t="inlineStr">
        <is>
          <t>16</t>
        </is>
      </c>
      <c r="L426">
        <f>K426-J426</f>
        <v/>
      </c>
      <c r="S426" t="n">
        <v>0</v>
      </c>
      <c r="T426" s="3">
        <f>SUM(O426:S426)</f>
        <v/>
      </c>
      <c r="U426" s="3">
        <f>IF(P426&lt;8,"USTED ESTÁ AL DÍA","USTED NO ESTÁ AL DÍA")</f>
        <v/>
      </c>
      <c r="V426" s="3" t="inlineStr">
        <is>
          <t>PAGO PRESENCIAL:  05/06 de 4-6 pm (LOCAL DEL PUEBLO), PAGO YAPE: 948 227 636</t>
        </is>
      </c>
      <c r="W426" t="n">
        <v>20</v>
      </c>
      <c r="X426" t="n">
        <v>75</v>
      </c>
      <c r="Y426">
        <f>T426+W426+X426</f>
        <v/>
      </c>
    </row>
    <row r="427" hidden="1" ht="15.75" customHeight="1" s="4">
      <c r="A427" s="3" t="n">
        <v>17321</v>
      </c>
      <c r="B427" s="3" t="inlineStr">
        <is>
          <t>11/04/2026 al 10/05/2026</t>
        </is>
      </c>
      <c r="C427" s="2" t="n">
        <v>46179</v>
      </c>
      <c r="D427" s="2" t="n">
        <v>46174</v>
      </c>
      <c r="E427" s="2" t="n">
        <v>46122</v>
      </c>
      <c r="F427" s="2" t="n">
        <v>46152</v>
      </c>
      <c r="G427" t="inlineStr">
        <is>
          <t>MARCELINA MELENDEZ JULCA</t>
        </is>
      </c>
      <c r="H427" t="inlineStr">
        <is>
          <t>P</t>
        </is>
      </c>
      <c r="I427" t="inlineStr">
        <is>
          <t>20</t>
        </is>
      </c>
      <c r="L427">
        <f>K427-J427</f>
        <v/>
      </c>
      <c r="S427" t="n">
        <v>0</v>
      </c>
      <c r="T427" s="3">
        <f>SUM(O427:S427)</f>
        <v/>
      </c>
      <c r="U427" s="3">
        <f>IF(P427&lt;8,"USTED ESTÁ AL DÍA","USTED NO ESTÁ AL DÍA")</f>
        <v/>
      </c>
      <c r="V427" s="3" t="inlineStr">
        <is>
          <t>PAGO PRESENCIAL:  05/06 de 4-6 pm (LOCAL DEL PUEBLO), PAGO YAPE: 948 227 636</t>
        </is>
      </c>
      <c r="Y427">
        <f>T427+W427+X427</f>
        <v/>
      </c>
    </row>
    <row r="428" hidden="1" ht="15.75" customHeight="1" s="4">
      <c r="A428" s="3" t="n">
        <v>17322</v>
      </c>
      <c r="B428" s="3" t="inlineStr">
        <is>
          <t>11/04/2026 al 10/05/2026</t>
        </is>
      </c>
      <c r="C428" s="2" t="n">
        <v>46179</v>
      </c>
      <c r="D428" s="2" t="n">
        <v>46174</v>
      </c>
      <c r="E428" s="2" t="n">
        <v>46122</v>
      </c>
      <c r="F428" s="2" t="n">
        <v>46152</v>
      </c>
      <c r="G428" t="inlineStr">
        <is>
          <t>ELIO FERNANDEZ QUISPE</t>
        </is>
      </c>
      <c r="H428" t="inlineStr">
        <is>
          <t>Q</t>
        </is>
      </c>
      <c r="I428" t="inlineStr">
        <is>
          <t>7</t>
        </is>
      </c>
      <c r="J428" t="n">
        <v>1661</v>
      </c>
      <c r="K428" t="n">
        <v>1674</v>
      </c>
      <c r="L428">
        <f>K428-J428</f>
        <v/>
      </c>
      <c r="M428" t="n">
        <v>13</v>
      </c>
      <c r="N428">
        <f>IF(L428&lt;&gt;M428,1,0)</f>
        <v/>
      </c>
      <c r="O428" t="n">
        <v>13</v>
      </c>
      <c r="P428" t="n">
        <v>24</v>
      </c>
      <c r="S428" t="n">
        <v>3</v>
      </c>
      <c r="T428" s="3">
        <f>SUM(O428:S428)</f>
        <v/>
      </c>
      <c r="U428" s="3">
        <f>IF(P428&lt;8,"USTED ESTÁ AL DÍA","USTED NO ESTÁ AL DÍA")</f>
        <v/>
      </c>
      <c r="V428" s="3" t="inlineStr">
        <is>
          <t>PAGO PRESENCIAL:  05/06 de 4-6 pm (LOCAL DEL PUEBLO), PAGO YAPE: 948 227 636</t>
        </is>
      </c>
      <c r="Y428">
        <f>T428+W428+X428</f>
        <v/>
      </c>
    </row>
    <row r="429" hidden="1" ht="15.75" customHeight="1" s="4">
      <c r="A429" s="3" t="n">
        <v>17323</v>
      </c>
      <c r="B429" s="3" t="inlineStr">
        <is>
          <t>11/04/2026 al 10/05/2026</t>
        </is>
      </c>
      <c r="C429" s="2" t="n">
        <v>46179</v>
      </c>
      <c r="D429" s="2" t="n">
        <v>46174</v>
      </c>
      <c r="E429" s="2" t="n">
        <v>46122</v>
      </c>
      <c r="F429" s="2" t="n">
        <v>46152</v>
      </c>
      <c r="G429" t="inlineStr">
        <is>
          <t>JUAN CABELLO ROMERO</t>
        </is>
      </c>
      <c r="H429" t="inlineStr">
        <is>
          <t>Q</t>
        </is>
      </c>
      <c r="I429" t="inlineStr">
        <is>
          <t>1</t>
        </is>
      </c>
      <c r="J429" t="n">
        <v>350</v>
      </c>
      <c r="K429" t="n">
        <v>357</v>
      </c>
      <c r="L429">
        <f>K429-J429</f>
        <v/>
      </c>
      <c r="M429" t="n">
        <v>7</v>
      </c>
      <c r="N429">
        <f>IF(L429&lt;&gt;M429,1,0)</f>
        <v/>
      </c>
      <c r="O429" t="n">
        <v>7</v>
      </c>
      <c r="S429" t="n">
        <v>3</v>
      </c>
      <c r="T429" s="3">
        <f>SUM(O429:S429)</f>
        <v/>
      </c>
      <c r="U429" s="3">
        <f>IF(P429&lt;8,"USTED ESTÁ AL DÍA","USTED NO ESTÁ AL DÍA")</f>
        <v/>
      </c>
      <c r="V429" s="3" t="inlineStr">
        <is>
          <t>PAGO PRESENCIAL:  05/06 de 4-6 pm (LOCAL DEL PUEBLO), PAGO YAPE: 948 227 636</t>
        </is>
      </c>
      <c r="W429" t="n">
        <v>50</v>
      </c>
      <c r="X429" t="n">
        <v>50</v>
      </c>
      <c r="Y429">
        <f>T429+W429+X429</f>
        <v/>
      </c>
    </row>
    <row r="430" hidden="1" ht="15.75" customHeight="1" s="4">
      <c r="A430" s="3" t="n">
        <v>17324</v>
      </c>
      <c r="B430" s="3" t="inlineStr">
        <is>
          <t>11/04/2026 al 10/05/2026</t>
        </is>
      </c>
      <c r="C430" s="2" t="n">
        <v>46179</v>
      </c>
      <c r="D430" s="2" t="n">
        <v>46174</v>
      </c>
      <c r="E430" s="2" t="n">
        <v>46122</v>
      </c>
      <c r="F430" s="2" t="n">
        <v>46152</v>
      </c>
      <c r="G430" t="inlineStr">
        <is>
          <t>CESAR CABELLO ROMERO</t>
        </is>
      </c>
      <c r="H430" t="inlineStr">
        <is>
          <t>Q</t>
        </is>
      </c>
      <c r="I430" t="inlineStr">
        <is>
          <t>2</t>
        </is>
      </c>
      <c r="J430" t="n">
        <v>846</v>
      </c>
      <c r="K430" t="n">
        <v>855</v>
      </c>
      <c r="L430">
        <f>K430-J430</f>
        <v/>
      </c>
      <c r="M430" t="n">
        <v>9</v>
      </c>
      <c r="N430">
        <f>IF(L430&lt;&gt;M430,1,0)</f>
        <v/>
      </c>
      <c r="O430" t="n">
        <v>9</v>
      </c>
      <c r="S430" t="n">
        <v>3</v>
      </c>
      <c r="T430" s="3">
        <f>SUM(O430:S430)</f>
        <v/>
      </c>
      <c r="U430" s="3">
        <f>IF(P430&lt;8,"USTED ESTÁ AL DÍA","USTED NO ESTÁ AL DÍA")</f>
        <v/>
      </c>
      <c r="V430" s="3" t="inlineStr">
        <is>
          <t>PAGO PRESENCIAL:  05/06 de 4-6 pm (LOCAL DEL PUEBLO), PAGO YAPE: 948 227 636</t>
        </is>
      </c>
      <c r="W430" t="n">
        <v>50</v>
      </c>
      <c r="Y430">
        <f>T430+W430+X430</f>
        <v/>
      </c>
    </row>
    <row r="431" hidden="1" ht="15.75" customHeight="1" s="4">
      <c r="A431" s="3" t="n">
        <v>17325</v>
      </c>
      <c r="B431" s="3" t="inlineStr">
        <is>
          <t>11/04/2026 al 10/05/2026</t>
        </is>
      </c>
      <c r="C431" s="2" t="n">
        <v>46179</v>
      </c>
      <c r="D431" s="2" t="n">
        <v>46174</v>
      </c>
      <c r="E431" s="2" t="n">
        <v>46122</v>
      </c>
      <c r="F431" s="2" t="n">
        <v>46152</v>
      </c>
      <c r="G431" t="inlineStr">
        <is>
          <t>PABLO ROMERO GARCILAZO</t>
        </is>
      </c>
      <c r="H431" t="inlineStr">
        <is>
          <t>Q</t>
        </is>
      </c>
      <c r="I431" t="inlineStr">
        <is>
          <t>3</t>
        </is>
      </c>
      <c r="J431" t="n">
        <v>2440</v>
      </c>
      <c r="K431" t="n">
        <v>2448</v>
      </c>
      <c r="L431">
        <f>K431-J431</f>
        <v/>
      </c>
      <c r="M431" t="n">
        <v>8</v>
      </c>
      <c r="N431">
        <f>IF(L431&lt;&gt;M431,1,0)</f>
        <v/>
      </c>
      <c r="O431" t="n">
        <v>8</v>
      </c>
      <c r="S431" t="n">
        <v>3</v>
      </c>
      <c r="T431" s="3">
        <f>SUM(O431:S431)</f>
        <v/>
      </c>
      <c r="U431" s="3">
        <f>IF(P431&lt;8,"USTED ESTÁ AL DÍA","USTED NO ESTÁ AL DÍA")</f>
        <v/>
      </c>
      <c r="V431" s="3" t="inlineStr">
        <is>
          <t>PAGO PRESENCIAL:  05/06 de 4-6 pm (LOCAL DEL PUEBLO), PAGO YAPE: 948 227 636</t>
        </is>
      </c>
      <c r="W431" t="n">
        <v>20</v>
      </c>
      <c r="X431" t="n">
        <v>50</v>
      </c>
      <c r="Y431">
        <f>T431+W431+X431</f>
        <v/>
      </c>
    </row>
    <row r="432" hidden="1" ht="15.75" customHeight="1" s="4">
      <c r="A432" s="3" t="n">
        <v>17326</v>
      </c>
      <c r="B432" s="3" t="inlineStr">
        <is>
          <t>11/04/2026 al 10/05/2026</t>
        </is>
      </c>
      <c r="C432" s="2" t="n">
        <v>46179</v>
      </c>
      <c r="D432" s="2" t="n">
        <v>46174</v>
      </c>
      <c r="E432" s="2" t="n">
        <v>46122</v>
      </c>
      <c r="F432" s="2" t="n">
        <v>46152</v>
      </c>
      <c r="G432" t="inlineStr">
        <is>
          <t>CLEMENTE CANTO PATALA</t>
        </is>
      </c>
      <c r="H432" t="inlineStr">
        <is>
          <t>Q</t>
        </is>
      </c>
      <c r="I432" t="inlineStr">
        <is>
          <t>5</t>
        </is>
      </c>
      <c r="J432" t="n">
        <v>39</v>
      </c>
      <c r="K432" t="n">
        <v>55</v>
      </c>
      <c r="L432">
        <f>K432-J432</f>
        <v/>
      </c>
      <c r="M432" t="n">
        <v>16</v>
      </c>
      <c r="N432">
        <f>IF(L432&lt;&gt;M432,1,0)</f>
        <v/>
      </c>
      <c r="O432" t="n">
        <v>16</v>
      </c>
      <c r="R432" t="n">
        <v>25</v>
      </c>
      <c r="S432" t="n">
        <v>3</v>
      </c>
      <c r="T432" s="3">
        <f>SUM(O432:S432)</f>
        <v/>
      </c>
      <c r="U432" s="3">
        <f>IF(P432&lt;8,"USTED ESTÁ AL DÍA","USTED NO ESTÁ AL DÍA")</f>
        <v/>
      </c>
      <c r="V432" s="3" t="inlineStr">
        <is>
          <t>PAGO PRESENCIAL:  05/06 de 4-6 pm (LOCAL DEL PUEBLO), PAGO YAPE: 948 227 636</t>
        </is>
      </c>
      <c r="W432" t="n">
        <v>50</v>
      </c>
      <c r="X432" t="n">
        <v>50</v>
      </c>
      <c r="Y432">
        <f>T432+W432+X432</f>
        <v/>
      </c>
    </row>
    <row r="433" hidden="1" ht="15.75" customHeight="1" s="4">
      <c r="A433" s="3" t="n">
        <v>17327</v>
      </c>
      <c r="B433" s="3" t="inlineStr">
        <is>
          <t>11/04/2026 al 10/05/2026</t>
        </is>
      </c>
      <c r="C433" s="2" t="n">
        <v>46179</v>
      </c>
      <c r="D433" s="2" t="n">
        <v>46174</v>
      </c>
      <c r="E433" s="2" t="n">
        <v>46122</v>
      </c>
      <c r="F433" s="2" t="n">
        <v>46152</v>
      </c>
      <c r="G433" t="inlineStr">
        <is>
          <t>DEDICACION GARCILAZO ROMERO</t>
        </is>
      </c>
      <c r="H433" t="inlineStr">
        <is>
          <t>Q</t>
        </is>
      </c>
      <c r="I433" t="inlineStr">
        <is>
          <t>6</t>
        </is>
      </c>
      <c r="J433" t="n">
        <v>2080</v>
      </c>
      <c r="K433" t="n">
        <v>2102</v>
      </c>
      <c r="L433">
        <f>K433-J433</f>
        <v/>
      </c>
      <c r="M433" t="n">
        <v>22</v>
      </c>
      <c r="N433">
        <f>IF(L433&lt;&gt;M433,1,0)</f>
        <v/>
      </c>
      <c r="O433" t="n">
        <v>22</v>
      </c>
      <c r="S433" t="n">
        <v>3</v>
      </c>
      <c r="T433" s="3">
        <f>SUM(O433:S433)</f>
        <v/>
      </c>
      <c r="U433" s="3">
        <f>IF(P433&lt;8,"USTED ESTÁ AL DÍA","USTED NO ESTÁ AL DÍA")</f>
        <v/>
      </c>
      <c r="V433" s="3" t="inlineStr">
        <is>
          <t>PAGO PRESENCIAL:  05/06 de 4-6 pm (LOCAL DEL PUEBLO), PAGO YAPE: 948 227 636</t>
        </is>
      </c>
      <c r="Y433">
        <f>T433+W433+X433</f>
        <v/>
      </c>
    </row>
    <row r="434" hidden="1" ht="15.75" customHeight="1" s="4">
      <c r="A434" s="3" t="n">
        <v>17328</v>
      </c>
      <c r="B434" s="3" t="inlineStr">
        <is>
          <t>11/04/2026 al 10/05/2026</t>
        </is>
      </c>
      <c r="C434" s="2" t="n">
        <v>46179</v>
      </c>
      <c r="D434" s="2" t="n">
        <v>46174</v>
      </c>
      <c r="E434" s="2" t="n">
        <v>46122</v>
      </c>
      <c r="F434" s="2" t="n">
        <v>46152</v>
      </c>
      <c r="G434" t="inlineStr">
        <is>
          <t>MARIA MARTINA PEÑA VEGA</t>
        </is>
      </c>
      <c r="H434" t="inlineStr">
        <is>
          <t>Q</t>
        </is>
      </c>
      <c r="I434" t="inlineStr">
        <is>
          <t>8</t>
        </is>
      </c>
      <c r="J434" t="n">
        <v>34</v>
      </c>
      <c r="K434" t="n">
        <v>54</v>
      </c>
      <c r="L434">
        <f>K434-J434</f>
        <v/>
      </c>
      <c r="M434" t="n">
        <v>20</v>
      </c>
      <c r="N434">
        <f>IF(L434&lt;&gt;M434,1,0)</f>
        <v/>
      </c>
      <c r="O434" t="n">
        <v>20</v>
      </c>
      <c r="R434" t="n">
        <v>20</v>
      </c>
      <c r="S434" t="n">
        <v>3</v>
      </c>
      <c r="T434" s="3">
        <f>SUM(O434:S434)</f>
        <v/>
      </c>
      <c r="U434" s="3">
        <f>IF(P434&lt;8,"USTED ESTÁ AL DÍA","USTED NO ESTÁ AL DÍA")</f>
        <v/>
      </c>
      <c r="V434" s="3" t="inlineStr">
        <is>
          <t>PAGO PRESENCIAL:  05/06 de 4-6 pm (LOCAL DEL PUEBLO), PAGO YAPE: 948 227 636</t>
        </is>
      </c>
      <c r="X434" t="n">
        <v>50</v>
      </c>
      <c r="Y434">
        <f>T434+W434+X434</f>
        <v/>
      </c>
    </row>
    <row r="435" hidden="1" ht="15.75" customHeight="1" s="4">
      <c r="A435" s="3" t="n">
        <v>17329</v>
      </c>
      <c r="B435" s="3" t="inlineStr">
        <is>
          <t>11/04/2026 al 10/05/2026</t>
        </is>
      </c>
      <c r="C435" s="2" t="n">
        <v>46179</v>
      </c>
      <c r="D435" s="2" t="n">
        <v>46174</v>
      </c>
      <c r="E435" s="2" t="n">
        <v>46122</v>
      </c>
      <c r="F435" s="2" t="n">
        <v>46152</v>
      </c>
      <c r="G435" t="inlineStr">
        <is>
          <t>VICTOR JUAREZ CORZO</t>
        </is>
      </c>
      <c r="H435" t="inlineStr">
        <is>
          <t>Q</t>
        </is>
      </c>
      <c r="I435" t="inlineStr">
        <is>
          <t>9</t>
        </is>
      </c>
      <c r="J435" t="n">
        <v>254</v>
      </c>
      <c r="K435" t="n">
        <v>277</v>
      </c>
      <c r="L435">
        <f>K435-J435</f>
        <v/>
      </c>
      <c r="M435" t="n">
        <v>23</v>
      </c>
      <c r="N435">
        <f>IF(L435&lt;&gt;M435,1,0)</f>
        <v/>
      </c>
      <c r="O435" t="n">
        <v>23</v>
      </c>
      <c r="S435" t="n">
        <v>3</v>
      </c>
      <c r="T435" s="3">
        <f>SUM(O435:S435)</f>
        <v/>
      </c>
      <c r="U435" s="3">
        <f>IF(P435&lt;8,"USTED ESTÁ AL DÍA","USTED NO ESTÁ AL DÍA")</f>
        <v/>
      </c>
      <c r="V435" s="3" t="inlineStr">
        <is>
          <t>PAGO PRESENCIAL:  05/06 de 4-6 pm (LOCAL DEL PUEBLO), PAGO YAPE: 948 227 636</t>
        </is>
      </c>
      <c r="X435" t="n">
        <v>50</v>
      </c>
      <c r="Y435">
        <f>T435+W435+X435</f>
        <v/>
      </c>
    </row>
    <row r="436" hidden="1" ht="15.75" customHeight="1" s="4">
      <c r="A436" s="3" t="n">
        <v>17330</v>
      </c>
      <c r="B436" s="3" t="inlineStr">
        <is>
          <t>11/04/2026 al 10/05/2026</t>
        </is>
      </c>
      <c r="C436" s="2" t="n">
        <v>46179</v>
      </c>
      <c r="D436" s="2" t="n">
        <v>46174</v>
      </c>
      <c r="E436" s="2" t="n">
        <v>46122</v>
      </c>
      <c r="F436" s="2" t="n">
        <v>46152</v>
      </c>
      <c r="G436" t="inlineStr">
        <is>
          <t>JUANA MORALES VEGA</t>
        </is>
      </c>
      <c r="H436" t="inlineStr">
        <is>
          <t>Q</t>
        </is>
      </c>
      <c r="I436" t="inlineStr">
        <is>
          <t>11</t>
        </is>
      </c>
      <c r="J436" t="n">
        <v>1057</v>
      </c>
      <c r="K436" t="n">
        <v>1073</v>
      </c>
      <c r="L436">
        <f>K436-J436</f>
        <v/>
      </c>
      <c r="M436" t="n">
        <v>16</v>
      </c>
      <c r="N436">
        <f>IF(L436&lt;&gt;M436,1,0)</f>
        <v/>
      </c>
      <c r="O436" t="n">
        <v>16</v>
      </c>
      <c r="Q436" t="n">
        <v>20</v>
      </c>
      <c r="S436" t="n">
        <v>3</v>
      </c>
      <c r="T436" s="3">
        <f>SUM(O436:S436)</f>
        <v/>
      </c>
      <c r="U436" s="3">
        <f>IF(P436&lt;8,"USTED ESTÁ AL DÍA","USTED NO ESTÁ AL DÍA")</f>
        <v/>
      </c>
      <c r="V436" s="3" t="inlineStr">
        <is>
          <t>PAGO PRESENCIAL:  05/06 de 4-6 pm (LOCAL DEL PUEBLO), PAGO YAPE: 948 227 636</t>
        </is>
      </c>
      <c r="W436" t="n">
        <v>50</v>
      </c>
      <c r="X436" t="n">
        <v>75</v>
      </c>
      <c r="Y436">
        <f>T436+W436+X436</f>
        <v/>
      </c>
    </row>
    <row r="437" hidden="1" ht="15.75" customHeight="1" s="4">
      <c r="A437" s="3" t="n">
        <v>17331</v>
      </c>
      <c r="B437" s="3" t="inlineStr">
        <is>
          <t>11/04/2026 al 10/05/2026</t>
        </is>
      </c>
      <c r="C437" s="2" t="n">
        <v>46179</v>
      </c>
      <c r="D437" s="2" t="n">
        <v>46174</v>
      </c>
      <c r="E437" s="2" t="n">
        <v>46122</v>
      </c>
      <c r="F437" s="2" t="n">
        <v>46152</v>
      </c>
      <c r="G437" t="inlineStr">
        <is>
          <t>TEODORA MEZA GARCILAZO</t>
        </is>
      </c>
      <c r="H437" t="inlineStr">
        <is>
          <t>Q</t>
        </is>
      </c>
      <c r="I437" t="inlineStr">
        <is>
          <t>12</t>
        </is>
      </c>
      <c r="J437" t="n">
        <v>845</v>
      </c>
      <c r="K437" t="n">
        <v>857</v>
      </c>
      <c r="L437">
        <f>K437-J437</f>
        <v/>
      </c>
      <c r="M437" t="n">
        <v>12</v>
      </c>
      <c r="N437">
        <f>IF(L437&lt;&gt;M437,1,0)</f>
        <v/>
      </c>
      <c r="O437" t="n">
        <v>12</v>
      </c>
      <c r="S437" t="n">
        <v>3</v>
      </c>
      <c r="T437" s="3">
        <f>SUM(O437:S437)</f>
        <v/>
      </c>
      <c r="U437" s="3">
        <f>IF(P437&lt;8,"USTED ESTÁ AL DÍA","USTED NO ESTÁ AL DÍA")</f>
        <v/>
      </c>
      <c r="V437" s="3" t="inlineStr">
        <is>
          <t>PAGO PRESENCIAL:  05/06 de 4-6 pm (LOCAL DEL PUEBLO), PAGO YAPE: 948 227 636</t>
        </is>
      </c>
      <c r="W437" t="n">
        <v>30</v>
      </c>
      <c r="Y437">
        <f>T437+W437+X437</f>
        <v/>
      </c>
    </row>
    <row r="438" hidden="1" ht="15.75" customHeight="1" s="4">
      <c r="A438" s="3" t="n">
        <v>17332</v>
      </c>
      <c r="B438" s="3" t="inlineStr">
        <is>
          <t>11/04/2026 al 10/05/2026</t>
        </is>
      </c>
      <c r="C438" s="2" t="n">
        <v>46179</v>
      </c>
      <c r="D438" s="2" t="n">
        <v>46174</v>
      </c>
      <c r="E438" s="2" t="n">
        <v>46122</v>
      </c>
      <c r="F438" s="2" t="n">
        <v>46152</v>
      </c>
      <c r="G438" t="inlineStr">
        <is>
          <t>EMILIANO PANTOJA SOLANO</t>
        </is>
      </c>
      <c r="H438" t="inlineStr">
        <is>
          <t>Q</t>
        </is>
      </c>
      <c r="I438" t="inlineStr">
        <is>
          <t>14</t>
        </is>
      </c>
      <c r="J438" t="n">
        <v>1105</v>
      </c>
      <c r="K438" t="n">
        <v>1112</v>
      </c>
      <c r="L438">
        <f>K438-J438</f>
        <v/>
      </c>
      <c r="M438" t="n">
        <v>7</v>
      </c>
      <c r="N438">
        <f>IF(L438&lt;&gt;M438,1,0)</f>
        <v/>
      </c>
      <c r="O438" t="n">
        <v>7</v>
      </c>
      <c r="S438" t="n">
        <v>3</v>
      </c>
      <c r="T438" s="3">
        <f>SUM(O438:S438)</f>
        <v/>
      </c>
      <c r="U438" s="3">
        <f>IF(P438&lt;8,"USTED ESTÁ AL DÍA","USTED NO ESTÁ AL DÍA")</f>
        <v/>
      </c>
      <c r="V438" s="3" t="inlineStr">
        <is>
          <t>PAGO PRESENCIAL:  05/06 de 4-6 pm (LOCAL DEL PUEBLO), PAGO YAPE: 948 227 636</t>
        </is>
      </c>
      <c r="W438" t="n">
        <v>20</v>
      </c>
      <c r="Y438">
        <f>T438+W438+X438</f>
        <v/>
      </c>
    </row>
    <row r="439" hidden="1" ht="15.75" customHeight="1" s="4">
      <c r="A439" s="3" t="n">
        <v>17333</v>
      </c>
      <c r="B439" s="3" t="inlineStr">
        <is>
          <t>11/04/2026 al 10/05/2026</t>
        </is>
      </c>
      <c r="C439" s="2" t="n">
        <v>46179</v>
      </c>
      <c r="D439" s="2" t="n">
        <v>46174</v>
      </c>
      <c r="E439" s="2" t="n">
        <v>46122</v>
      </c>
      <c r="F439" s="2" t="n">
        <v>46152</v>
      </c>
      <c r="G439" t="inlineStr">
        <is>
          <t>BARTOLOME ECHEVARRIA RAO</t>
        </is>
      </c>
      <c r="H439" t="inlineStr">
        <is>
          <t>Q</t>
        </is>
      </c>
      <c r="I439" t="inlineStr">
        <is>
          <t>15</t>
        </is>
      </c>
      <c r="J439" t="n">
        <v>334</v>
      </c>
      <c r="K439" t="n">
        <v>336</v>
      </c>
      <c r="L439">
        <f>K439-J439</f>
        <v/>
      </c>
      <c r="M439" t="n">
        <v>5</v>
      </c>
      <c r="O439" t="n">
        <v>5</v>
      </c>
      <c r="S439" t="n">
        <v>3</v>
      </c>
      <c r="T439" s="3">
        <f>SUM(O439:S439)</f>
        <v/>
      </c>
      <c r="U439" s="3">
        <f>IF(P439&lt;8,"USTED ESTÁ AL DÍA","USTED NO ESTÁ AL DÍA")</f>
        <v/>
      </c>
      <c r="V439" s="3" t="inlineStr">
        <is>
          <t>PAGO PRESENCIAL:  05/06 de 4-6 pm (LOCAL DEL PUEBLO), PAGO YAPE: 948 227 636</t>
        </is>
      </c>
      <c r="X439" t="n">
        <v>0</v>
      </c>
      <c r="Y439">
        <f>T439+W439+X439</f>
        <v/>
      </c>
    </row>
    <row r="440" hidden="1" ht="15.75" customHeight="1" s="4">
      <c r="A440" s="3" t="n">
        <v>17334</v>
      </c>
      <c r="B440" s="3" t="inlineStr">
        <is>
          <t>11/04/2026 al 10/05/2026</t>
        </is>
      </c>
      <c r="C440" s="2" t="n">
        <v>46179</v>
      </c>
      <c r="D440" s="2" t="n">
        <v>46174</v>
      </c>
      <c r="E440" s="2" t="n">
        <v>46122</v>
      </c>
      <c r="F440" s="2" t="n">
        <v>46152</v>
      </c>
      <c r="G440" t="inlineStr">
        <is>
          <t>JUDITH MARGOT LUIS PEÑA</t>
        </is>
      </c>
      <c r="H440" t="inlineStr">
        <is>
          <t>Q</t>
        </is>
      </c>
      <c r="I440" t="inlineStr">
        <is>
          <t>16</t>
        </is>
      </c>
      <c r="J440" t="n">
        <v>165</v>
      </c>
      <c r="K440" t="n">
        <v>172</v>
      </c>
      <c r="L440">
        <f>K440-J440</f>
        <v/>
      </c>
      <c r="M440" t="n">
        <v>7</v>
      </c>
      <c r="N440">
        <f>IF(L440&lt;&gt;M440,1,0)</f>
        <v/>
      </c>
      <c r="O440" t="n">
        <v>7</v>
      </c>
      <c r="S440" t="n">
        <v>3</v>
      </c>
      <c r="T440" s="3">
        <f>SUM(O440:S440)</f>
        <v/>
      </c>
      <c r="U440" s="3">
        <f>IF(P440&lt;8,"USTED ESTÁ AL DÍA","USTED NO ESTÁ AL DÍA")</f>
        <v/>
      </c>
      <c r="V440" s="3" t="inlineStr">
        <is>
          <t>PAGO PRESENCIAL:  05/06 de 4-6 pm (LOCAL DEL PUEBLO), PAGO YAPE: 948 227 636</t>
        </is>
      </c>
      <c r="Y440">
        <f>T440+W440+X440</f>
        <v/>
      </c>
    </row>
    <row r="441" hidden="1" ht="15.75" customHeight="1" s="4">
      <c r="A441" s="3" t="n">
        <v>17335</v>
      </c>
      <c r="B441" s="3" t="inlineStr">
        <is>
          <t>11/04/2026 al 10/05/2026</t>
        </is>
      </c>
      <c r="C441" s="2" t="n">
        <v>46179</v>
      </c>
      <c r="D441" s="2" t="n">
        <v>46174</v>
      </c>
      <c r="E441" s="2" t="n">
        <v>46122</v>
      </c>
      <c r="F441" s="2" t="n">
        <v>46152</v>
      </c>
      <c r="G441" t="inlineStr">
        <is>
          <t>BEATRIZ ROMERO VALLADARES</t>
        </is>
      </c>
      <c r="H441" t="inlineStr">
        <is>
          <t>Q</t>
        </is>
      </c>
      <c r="I441" t="inlineStr">
        <is>
          <t>4</t>
        </is>
      </c>
      <c r="L441">
        <f>K441-J441</f>
        <v/>
      </c>
      <c r="S441" t="n">
        <v>0</v>
      </c>
      <c r="T441" s="3">
        <f>SUM(O441:S441)</f>
        <v/>
      </c>
      <c r="U441" s="3">
        <f>IF(P441&lt;8,"USTED ESTÁ AL DÍA","USTED NO ESTÁ AL DÍA")</f>
        <v/>
      </c>
      <c r="V441" s="3" t="inlineStr">
        <is>
          <t>PAGO PRESENCIAL:  05/06 de 4-6 pm (LOCAL DEL PUEBLO), PAGO YAPE: 948 227 636</t>
        </is>
      </c>
      <c r="W441" t="n">
        <v>50</v>
      </c>
      <c r="X441" t="n">
        <v>75</v>
      </c>
      <c r="Y441">
        <f>T441+W441+X441</f>
        <v/>
      </c>
    </row>
    <row r="442" hidden="1" ht="15.75" customHeight="1" s="4">
      <c r="A442" s="3" t="n">
        <v>17336</v>
      </c>
      <c r="B442" s="3" t="inlineStr">
        <is>
          <t>11/04/2026 al 10/05/2026</t>
        </is>
      </c>
      <c r="C442" s="2" t="n">
        <v>46179</v>
      </c>
      <c r="D442" s="2" t="n">
        <v>46174</v>
      </c>
      <c r="E442" s="2" t="n">
        <v>46122</v>
      </c>
      <c r="F442" s="2" t="n">
        <v>46152</v>
      </c>
      <c r="G442" t="inlineStr">
        <is>
          <t>YONY CELEDONIO CERVANTES</t>
        </is>
      </c>
      <c r="H442" t="inlineStr">
        <is>
          <t>Q</t>
        </is>
      </c>
      <c r="I442" t="inlineStr">
        <is>
          <t>13</t>
        </is>
      </c>
      <c r="L442">
        <f>K442-J442</f>
        <v/>
      </c>
      <c r="S442" t="n">
        <v>0</v>
      </c>
      <c r="T442" s="3">
        <f>SUM(O442:S442)</f>
        <v/>
      </c>
      <c r="U442" s="3">
        <f>IF(P442&lt;8,"USTED ESTÁ AL DÍA","USTED NO ESTÁ AL DÍA")</f>
        <v/>
      </c>
      <c r="V442" s="3" t="inlineStr">
        <is>
          <t>PAGO PRESENCIAL:  05/06 de 4-6 pm (LOCAL DEL PUEBLO), PAGO YAPE: 948 227 636</t>
        </is>
      </c>
      <c r="W442" t="n">
        <v>20</v>
      </c>
      <c r="Y442">
        <f>T442+W442+X442</f>
        <v/>
      </c>
    </row>
    <row r="443" hidden="1" ht="15.75" customHeight="1" s="4">
      <c r="A443" s="3" t="n">
        <v>17337</v>
      </c>
      <c r="B443" s="3" t="inlineStr">
        <is>
          <t>11/04/2026 al 10/05/2026</t>
        </is>
      </c>
      <c r="C443" s="2" t="n">
        <v>46179</v>
      </c>
      <c r="D443" s="2" t="n">
        <v>46174</v>
      </c>
      <c r="E443" s="2" t="n">
        <v>46122</v>
      </c>
      <c r="F443" s="2" t="n">
        <v>46152</v>
      </c>
      <c r="G443" t="inlineStr">
        <is>
          <t>ALEJANDRO TRUJILLO DIAZ</t>
        </is>
      </c>
      <c r="H443" t="inlineStr">
        <is>
          <t>Q</t>
        </is>
      </c>
      <c r="I443" t="inlineStr">
        <is>
          <t>10</t>
        </is>
      </c>
      <c r="L443">
        <f>K443-J443</f>
        <v/>
      </c>
      <c r="S443" t="n">
        <v>0</v>
      </c>
      <c r="T443" s="3">
        <f>SUM(O443:S443)</f>
        <v/>
      </c>
      <c r="U443" s="3">
        <f>IF(P443&lt;8,"USTED ESTÁ AL DÍA","USTED NO ESTÁ AL DÍA")</f>
        <v/>
      </c>
      <c r="V443" s="3" t="inlineStr">
        <is>
          <t>PAGO PRESENCIAL:  05/06 de 4-6 pm (LOCAL DEL PUEBLO), PAGO YAPE: 948 227 636</t>
        </is>
      </c>
      <c r="W443" t="n">
        <v>50</v>
      </c>
      <c r="Y443">
        <f>T443+W443+X443</f>
        <v/>
      </c>
    </row>
    <row r="444" hidden="1" ht="15.75" customHeight="1" s="4">
      <c r="A444" s="3" t="n">
        <v>17338</v>
      </c>
      <c r="B444" s="3" t="inlineStr">
        <is>
          <t>11/04/2026 al 10/05/2026</t>
        </is>
      </c>
      <c r="C444" s="2" t="n">
        <v>46179</v>
      </c>
      <c r="D444" s="2" t="n">
        <v>46174</v>
      </c>
      <c r="E444" s="2" t="n">
        <v>46122</v>
      </c>
      <c r="F444" s="2" t="n">
        <v>46152</v>
      </c>
      <c r="G444" t="inlineStr">
        <is>
          <t>ROSAURA OROYA SACRE</t>
        </is>
      </c>
      <c r="H444" t="inlineStr">
        <is>
          <t>R</t>
        </is>
      </c>
      <c r="I444" t="inlineStr">
        <is>
          <t>7</t>
        </is>
      </c>
      <c r="J444" t="n">
        <v>281</v>
      </c>
      <c r="K444" t="n">
        <v>293</v>
      </c>
      <c r="L444">
        <f>K444-J444</f>
        <v/>
      </c>
      <c r="M444" t="n">
        <v>12</v>
      </c>
      <c r="N444">
        <f>IF(L444&lt;&gt;M444,1,0)</f>
        <v/>
      </c>
      <c r="O444" t="n">
        <v>12</v>
      </c>
      <c r="P444" t="n">
        <v>15</v>
      </c>
      <c r="S444" t="n">
        <v>3</v>
      </c>
      <c r="T444" s="3">
        <f>SUM(O444:S444)</f>
        <v/>
      </c>
      <c r="U444" s="3">
        <f>IF(P444&lt;8,"USTED ESTÁ AL DÍA","USTED NO ESTÁ AL DÍA")</f>
        <v/>
      </c>
      <c r="V444" s="3" t="inlineStr">
        <is>
          <t>PAGO PRESENCIAL:  05/06 de 4-6 pm (LOCAL DEL PUEBLO), PAGO YAPE: 948 227 636</t>
        </is>
      </c>
      <c r="Y444">
        <f>T444+W444+X444</f>
        <v/>
      </c>
    </row>
    <row r="445" hidden="1" ht="15.75" customHeight="1" s="4">
      <c r="A445" s="3" t="n">
        <v>17339</v>
      </c>
      <c r="B445" s="3" t="inlineStr">
        <is>
          <t>11/04/2026 al 10/05/2026</t>
        </is>
      </c>
      <c r="C445" s="2" t="n">
        <v>46179</v>
      </c>
      <c r="D445" s="2" t="n">
        <v>46174</v>
      </c>
      <c r="E445" s="2" t="n">
        <v>46122</v>
      </c>
      <c r="F445" s="2" t="n">
        <v>46152</v>
      </c>
      <c r="G445" t="inlineStr">
        <is>
          <t>IDA HUACANCA CASCA</t>
        </is>
      </c>
      <c r="H445" t="inlineStr">
        <is>
          <t>R</t>
        </is>
      </c>
      <c r="I445" t="inlineStr">
        <is>
          <t>1</t>
        </is>
      </c>
      <c r="J445" t="n">
        <v>240</v>
      </c>
      <c r="K445" t="n">
        <v>251</v>
      </c>
      <c r="L445">
        <f>K445-J445</f>
        <v/>
      </c>
      <c r="M445" t="n">
        <v>11</v>
      </c>
      <c r="N445">
        <f>IF(L445&lt;&gt;M445,1,0)</f>
        <v/>
      </c>
      <c r="O445" t="n">
        <v>11</v>
      </c>
      <c r="S445" t="n">
        <v>3</v>
      </c>
      <c r="T445" s="3">
        <f>SUM(O445:S445)</f>
        <v/>
      </c>
      <c r="U445" s="3">
        <f>IF(P445&lt;8,"USTED ESTÁ AL DÍA","USTED NO ESTÁ AL DÍA")</f>
        <v/>
      </c>
      <c r="V445" s="3" t="inlineStr">
        <is>
          <t>PAGO PRESENCIAL:  05/06 de 4-6 pm (LOCAL DEL PUEBLO), PAGO YAPE: 948 227 636</t>
        </is>
      </c>
      <c r="X445" t="n">
        <v>50</v>
      </c>
      <c r="Y445">
        <f>T445+W445+X445</f>
        <v/>
      </c>
    </row>
    <row r="446" hidden="1" ht="15.75" customHeight="1" s="4">
      <c r="A446" s="3" t="n">
        <v>17340</v>
      </c>
      <c r="B446" s="3" t="inlineStr">
        <is>
          <t>11/04/2026 al 10/05/2026</t>
        </is>
      </c>
      <c r="C446" s="2" t="n">
        <v>46179</v>
      </c>
      <c r="D446" s="2" t="n">
        <v>46174</v>
      </c>
      <c r="E446" s="2" t="n">
        <v>46122</v>
      </c>
      <c r="F446" s="2" t="n">
        <v>46152</v>
      </c>
      <c r="G446" t="inlineStr">
        <is>
          <t>JESSICA OLIVO INGARUCA</t>
        </is>
      </c>
      <c r="H446" t="inlineStr">
        <is>
          <t>R</t>
        </is>
      </c>
      <c r="I446" t="inlineStr">
        <is>
          <t>2</t>
        </is>
      </c>
      <c r="J446" t="n">
        <v>26</v>
      </c>
      <c r="K446" t="n">
        <v>40</v>
      </c>
      <c r="L446">
        <f>K446-J446</f>
        <v/>
      </c>
      <c r="M446" t="n">
        <v>14</v>
      </c>
      <c r="N446">
        <f>IF(L446&lt;&gt;M446,1,0)</f>
        <v/>
      </c>
      <c r="O446" t="n">
        <v>14</v>
      </c>
      <c r="R446" t="n">
        <v>25</v>
      </c>
      <c r="S446" t="n">
        <v>3</v>
      </c>
      <c r="T446" s="3">
        <f>SUM(O446:S446)</f>
        <v/>
      </c>
      <c r="U446" s="3">
        <f>IF(P446&lt;8,"USTED ESTÁ AL DÍA","USTED NO ESTÁ AL DÍA")</f>
        <v/>
      </c>
      <c r="V446" s="3" t="inlineStr">
        <is>
          <t>PAGO PRESENCIAL:  05/06 de 4-6 pm (LOCAL DEL PUEBLO), PAGO YAPE: 948 227 636</t>
        </is>
      </c>
      <c r="X446" t="n">
        <v>50</v>
      </c>
      <c r="Y446">
        <f>T446+W446+X446</f>
        <v/>
      </c>
    </row>
    <row r="447" hidden="1" ht="15.75" customHeight="1" s="4">
      <c r="A447" s="3" t="n">
        <v>17341</v>
      </c>
      <c r="B447" s="3" t="inlineStr">
        <is>
          <t>11/04/2026 al 10/05/2026</t>
        </is>
      </c>
      <c r="C447" s="2" t="n">
        <v>46179</v>
      </c>
      <c r="D447" s="2" t="n">
        <v>46174</v>
      </c>
      <c r="E447" s="2" t="n">
        <v>46122</v>
      </c>
      <c r="F447" s="2" t="n">
        <v>46152</v>
      </c>
      <c r="G447" t="inlineStr">
        <is>
          <t>ROSA TOLENTINO SANCHEZ</t>
        </is>
      </c>
      <c r="H447" t="inlineStr">
        <is>
          <t>R</t>
        </is>
      </c>
      <c r="I447" t="inlineStr">
        <is>
          <t>3</t>
        </is>
      </c>
      <c r="J447" t="n">
        <v>146</v>
      </c>
      <c r="K447" t="n">
        <v>151</v>
      </c>
      <c r="L447">
        <f>K447-J447</f>
        <v/>
      </c>
      <c r="M447" t="n">
        <v>5</v>
      </c>
      <c r="O447" t="n">
        <v>5</v>
      </c>
      <c r="S447" t="n">
        <v>3</v>
      </c>
      <c r="T447" s="3">
        <f>SUM(O447:S447)</f>
        <v/>
      </c>
      <c r="U447" s="3">
        <f>IF(P447&lt;8,"USTED ESTÁ AL DÍA","USTED NO ESTÁ AL DÍA")</f>
        <v/>
      </c>
      <c r="V447" s="3" t="inlineStr">
        <is>
          <t>PAGO PRESENCIAL:  05/06 de 4-6 pm (LOCAL DEL PUEBLO), PAGO YAPE: 948 227 636</t>
        </is>
      </c>
      <c r="W447" t="n">
        <v>20</v>
      </c>
      <c r="X447" t="n">
        <v>75</v>
      </c>
      <c r="Y447">
        <f>T447+W447+X447</f>
        <v/>
      </c>
    </row>
    <row r="448" hidden="1" ht="15.75" customHeight="1" s="4">
      <c r="A448" s="3" t="n">
        <v>17342</v>
      </c>
      <c r="B448" s="3" t="inlineStr">
        <is>
          <t>11/04/2026 al 10/05/2026</t>
        </is>
      </c>
      <c r="C448" s="2" t="n">
        <v>46179</v>
      </c>
      <c r="D448" s="2" t="n">
        <v>46174</v>
      </c>
      <c r="E448" s="2" t="n">
        <v>46122</v>
      </c>
      <c r="F448" s="2" t="n">
        <v>46152</v>
      </c>
      <c r="G448" t="inlineStr">
        <is>
          <t>FLORA MARIA CASTILLEJO VENTURO</t>
        </is>
      </c>
      <c r="H448" t="inlineStr">
        <is>
          <t>R</t>
        </is>
      </c>
      <c r="I448" t="inlineStr">
        <is>
          <t>4</t>
        </is>
      </c>
      <c r="J448" t="n">
        <v>779</v>
      </c>
      <c r="K448" t="n">
        <v>784</v>
      </c>
      <c r="L448">
        <f>K448-J448</f>
        <v/>
      </c>
      <c r="M448" t="n">
        <v>5</v>
      </c>
      <c r="O448" t="n">
        <v>5</v>
      </c>
      <c r="S448" t="n">
        <v>3</v>
      </c>
      <c r="T448" s="3">
        <f>SUM(O448:S448)</f>
        <v/>
      </c>
      <c r="U448" s="3">
        <f>IF(P448&lt;8,"USTED ESTÁ AL DÍA","USTED NO ESTÁ AL DÍA")</f>
        <v/>
      </c>
      <c r="V448" s="3" t="inlineStr">
        <is>
          <t>PAGO PRESENCIAL:  05/06 de 4-6 pm (LOCAL DEL PUEBLO), PAGO YAPE: 948 227 636</t>
        </is>
      </c>
      <c r="W448" t="n">
        <v>30</v>
      </c>
      <c r="X448" t="n">
        <v>30</v>
      </c>
      <c r="Y448">
        <f>T448+W448+X448</f>
        <v/>
      </c>
    </row>
    <row r="449" hidden="1" ht="15.75" customHeight="1" s="4">
      <c r="A449" s="3" t="n">
        <v>17343</v>
      </c>
      <c r="B449" s="3" t="inlineStr">
        <is>
          <t>11/04/2026 al 10/05/2026</t>
        </is>
      </c>
      <c r="C449" s="2" t="n">
        <v>46179</v>
      </c>
      <c r="D449" s="2" t="n">
        <v>46174</v>
      </c>
      <c r="E449" s="2" t="n">
        <v>46122</v>
      </c>
      <c r="F449" s="2" t="n">
        <v>46152</v>
      </c>
      <c r="G449" t="inlineStr">
        <is>
          <t>FRANK KELVIN TERAN MASIAS</t>
        </is>
      </c>
      <c r="H449" t="inlineStr">
        <is>
          <t>R</t>
        </is>
      </c>
      <c r="I449" t="inlineStr">
        <is>
          <t>5</t>
        </is>
      </c>
      <c r="J449" t="n">
        <v>464</v>
      </c>
      <c r="K449" t="n">
        <v>465</v>
      </c>
      <c r="L449">
        <f>K449-J449</f>
        <v/>
      </c>
      <c r="M449" t="n">
        <v>5</v>
      </c>
      <c r="O449" t="n">
        <v>5</v>
      </c>
      <c r="S449" t="n">
        <v>3</v>
      </c>
      <c r="T449" s="3">
        <f>SUM(O449:S449)</f>
        <v/>
      </c>
      <c r="U449" s="3">
        <f>IF(P449&lt;8,"USTED ESTÁ AL DÍA","USTED NO ESTÁ AL DÍA")</f>
        <v/>
      </c>
      <c r="V449" s="3" t="inlineStr">
        <is>
          <t>PAGO PRESENCIAL:  05/06 de 4-6 pm (LOCAL DEL PUEBLO), PAGO YAPE: 948 227 636</t>
        </is>
      </c>
      <c r="W449" t="n">
        <v>20</v>
      </c>
      <c r="Y449">
        <f>T449+W449+X449</f>
        <v/>
      </c>
    </row>
    <row r="450" hidden="1" ht="15.75" customHeight="1" s="4">
      <c r="A450" s="3" t="n">
        <v>17344</v>
      </c>
      <c r="B450" s="3" t="inlineStr">
        <is>
          <t>11/04/2026 al 10/05/2026</t>
        </is>
      </c>
      <c r="C450" s="2" t="n">
        <v>46179</v>
      </c>
      <c r="D450" s="2" t="n">
        <v>46174</v>
      </c>
      <c r="E450" s="2" t="n">
        <v>46122</v>
      </c>
      <c r="F450" s="2" t="n">
        <v>46152</v>
      </c>
      <c r="G450" t="inlineStr">
        <is>
          <t>DONATO ENRIQUE RAMIRES</t>
        </is>
      </c>
      <c r="H450" t="inlineStr">
        <is>
          <t>R</t>
        </is>
      </c>
      <c r="I450" t="inlineStr">
        <is>
          <t>8</t>
        </is>
      </c>
      <c r="J450" t="n">
        <v>2100</v>
      </c>
      <c r="K450" t="n">
        <v>2118</v>
      </c>
      <c r="L450">
        <f>K450-J450</f>
        <v/>
      </c>
      <c r="M450" t="n">
        <v>18</v>
      </c>
      <c r="N450">
        <f>IF(L450&lt;&gt;M450,1,0)</f>
        <v/>
      </c>
      <c r="O450" t="n">
        <v>18</v>
      </c>
      <c r="S450" t="n">
        <v>3</v>
      </c>
      <c r="T450" s="3">
        <f>SUM(O450:S450)</f>
        <v/>
      </c>
      <c r="U450" s="3">
        <f>IF(P450&lt;8,"USTED ESTÁ AL DÍA","USTED NO ESTÁ AL DÍA")</f>
        <v/>
      </c>
      <c r="V450" s="3" t="inlineStr">
        <is>
          <t>PAGO PRESENCIAL:  05/06 de 4-6 pm (LOCAL DEL PUEBLO), PAGO YAPE: 948 227 636</t>
        </is>
      </c>
      <c r="W450" t="n">
        <v>20</v>
      </c>
      <c r="X450" t="n">
        <v>50</v>
      </c>
      <c r="Y450">
        <f>T450+W450+X450</f>
        <v/>
      </c>
    </row>
    <row r="451" hidden="1" ht="15.75" customHeight="1" s="4">
      <c r="A451" s="3" t="n">
        <v>17345</v>
      </c>
      <c r="B451" s="3" t="inlineStr">
        <is>
          <t>11/04/2026 al 10/05/2026</t>
        </is>
      </c>
      <c r="C451" s="2" t="n">
        <v>46179</v>
      </c>
      <c r="D451" s="2" t="n">
        <v>46174</v>
      </c>
      <c r="E451" s="2" t="n">
        <v>46122</v>
      </c>
      <c r="F451" s="2" t="n">
        <v>46152</v>
      </c>
      <c r="G451" t="inlineStr">
        <is>
          <t>WILDER SANTIAGO SANTIAGO</t>
        </is>
      </c>
      <c r="H451" t="inlineStr">
        <is>
          <t>S</t>
        </is>
      </c>
      <c r="I451" t="inlineStr">
        <is>
          <t>1</t>
        </is>
      </c>
      <c r="J451" t="n">
        <v>660</v>
      </c>
      <c r="K451" t="n">
        <v>676</v>
      </c>
      <c r="L451">
        <f>K451-J451</f>
        <v/>
      </c>
      <c r="M451" t="n">
        <v>16</v>
      </c>
      <c r="N451">
        <f>IF(L451&lt;&gt;M451,1,0)</f>
        <v/>
      </c>
      <c r="O451" t="n">
        <v>16</v>
      </c>
      <c r="P451" t="n">
        <v>22</v>
      </c>
      <c r="S451" t="n">
        <v>3</v>
      </c>
      <c r="T451" s="3">
        <f>SUM(O451:S451)</f>
        <v/>
      </c>
      <c r="U451" s="3">
        <f>IF(P451&lt;8,"USTED ESTÁ AL DÍA","USTED NO ESTÁ AL DÍA")</f>
        <v/>
      </c>
      <c r="V451" s="3" t="inlineStr">
        <is>
          <t>PAGO PRESENCIAL:  05/06 de 4-6 pm (LOCAL DEL PUEBLO), PAGO YAPE: 948 227 636</t>
        </is>
      </c>
      <c r="X451" t="n">
        <v>75</v>
      </c>
      <c r="Y451">
        <f>T451+W451+X451</f>
        <v/>
      </c>
    </row>
    <row r="452" hidden="1" ht="15.75" customHeight="1" s="4">
      <c r="A452" s="3" t="n">
        <v>17346</v>
      </c>
      <c r="B452" s="3" t="inlineStr">
        <is>
          <t>11/04/2026 al 10/05/2026</t>
        </is>
      </c>
      <c r="C452" s="2" t="n">
        <v>46179</v>
      </c>
      <c r="D452" s="2" t="n">
        <v>46174</v>
      </c>
      <c r="E452" s="2" t="n">
        <v>46122</v>
      </c>
      <c r="F452" s="2" t="n">
        <v>46152</v>
      </c>
      <c r="G452" t="inlineStr">
        <is>
          <t>LUIS ROMERO QUISPE</t>
        </is>
      </c>
      <c r="H452" t="inlineStr">
        <is>
          <t>S</t>
        </is>
      </c>
      <c r="I452" t="inlineStr">
        <is>
          <t>4</t>
        </is>
      </c>
      <c r="J452" t="n">
        <v>46</v>
      </c>
      <c r="K452" t="n">
        <v>67</v>
      </c>
      <c r="L452">
        <f>K452-J452</f>
        <v/>
      </c>
      <c r="M452" t="n">
        <v>21</v>
      </c>
      <c r="N452">
        <f>IF(L452&lt;&gt;M452,1,0)</f>
        <v/>
      </c>
      <c r="O452" t="n">
        <v>21</v>
      </c>
      <c r="P452" t="n">
        <v>23</v>
      </c>
      <c r="R452" t="n">
        <v>25</v>
      </c>
      <c r="S452" t="n">
        <v>3</v>
      </c>
      <c r="T452" s="3">
        <f>SUM(O452:S452)</f>
        <v/>
      </c>
      <c r="U452" s="3">
        <f>IF(P452&lt;8,"USTED ESTÁ AL DÍA","USTED NO ESTÁ AL DÍA")</f>
        <v/>
      </c>
      <c r="V452" s="3" t="inlineStr">
        <is>
          <t>PAGO PRESENCIAL:  05/06 de 4-6 pm (LOCAL DEL PUEBLO), PAGO YAPE: 948 227 636</t>
        </is>
      </c>
      <c r="Y452">
        <f>T452+W452+X452</f>
        <v/>
      </c>
    </row>
    <row r="453" hidden="1" ht="15.75" customHeight="1" s="4">
      <c r="A453" s="3" t="n">
        <v>17347</v>
      </c>
      <c r="B453" s="3" t="inlineStr">
        <is>
          <t>11/04/2026 al 10/05/2026</t>
        </is>
      </c>
      <c r="C453" s="2" t="n">
        <v>46179</v>
      </c>
      <c r="D453" s="2" t="n">
        <v>46174</v>
      </c>
      <c r="E453" s="2" t="n">
        <v>46122</v>
      </c>
      <c r="F453" s="2" t="n">
        <v>46152</v>
      </c>
      <c r="G453" t="inlineStr">
        <is>
          <t>VALERIO PORFILIO JAVIER SANTIAGO</t>
        </is>
      </c>
      <c r="H453" t="inlineStr">
        <is>
          <t>S</t>
        </is>
      </c>
      <c r="I453" t="inlineStr">
        <is>
          <t>5</t>
        </is>
      </c>
      <c r="J453" t="n">
        <v>2274</v>
      </c>
      <c r="K453" t="n">
        <v>2292</v>
      </c>
      <c r="L453">
        <f>K453-J453</f>
        <v/>
      </c>
      <c r="M453" t="n">
        <v>18</v>
      </c>
      <c r="N453">
        <f>IF(L453&lt;&gt;M453,1,0)</f>
        <v/>
      </c>
      <c r="O453" t="n">
        <v>18</v>
      </c>
      <c r="P453" t="n">
        <v>25</v>
      </c>
      <c r="S453" t="n">
        <v>3</v>
      </c>
      <c r="T453" s="3">
        <f>SUM(O453:S453)</f>
        <v/>
      </c>
      <c r="U453" s="3">
        <f>IF(P453&lt;8,"USTED ESTÁ AL DÍA","USTED NO ESTÁ AL DÍA")</f>
        <v/>
      </c>
      <c r="V453" s="3" t="inlineStr">
        <is>
          <t>PAGO PRESENCIAL:  05/06 de 4-6 pm (LOCAL DEL PUEBLO), PAGO YAPE: 948 227 636</t>
        </is>
      </c>
      <c r="W453" t="n">
        <v>30</v>
      </c>
      <c r="X453" t="n">
        <v>75</v>
      </c>
      <c r="Y453">
        <f>T453+W453+X453</f>
        <v/>
      </c>
    </row>
    <row r="454" hidden="1" ht="15.75" customHeight="1" s="4">
      <c r="A454" s="3" t="n">
        <v>17348</v>
      </c>
      <c r="B454" s="3" t="inlineStr">
        <is>
          <t>11/04/2026 al 10/05/2026</t>
        </is>
      </c>
      <c r="C454" s="2" t="n">
        <v>46179</v>
      </c>
      <c r="D454" s="2" t="n">
        <v>46174</v>
      </c>
      <c r="E454" s="2" t="n">
        <v>46122</v>
      </c>
      <c r="F454" s="2" t="n">
        <v>46152</v>
      </c>
      <c r="G454" t="inlineStr">
        <is>
          <t>MIRIAM DIAZ MAMANI</t>
        </is>
      </c>
      <c r="H454" t="inlineStr">
        <is>
          <t>S</t>
        </is>
      </c>
      <c r="I454" t="inlineStr">
        <is>
          <t>2</t>
        </is>
      </c>
      <c r="J454" t="n">
        <v>2158</v>
      </c>
      <c r="K454" t="n">
        <v>2183</v>
      </c>
      <c r="L454">
        <f>K454-J454</f>
        <v/>
      </c>
      <c r="M454" t="n">
        <v>25</v>
      </c>
      <c r="N454">
        <f>IF(L454&lt;&gt;M454,1,0)</f>
        <v/>
      </c>
      <c r="O454" t="n">
        <v>25</v>
      </c>
      <c r="S454" t="n">
        <v>3</v>
      </c>
      <c r="T454" s="3">
        <f>SUM(O454:S454)</f>
        <v/>
      </c>
      <c r="U454" s="3">
        <f>IF(P454&lt;8,"USTED ESTÁ AL DÍA","USTED NO ESTÁ AL DÍA")</f>
        <v/>
      </c>
      <c r="V454" s="3" t="inlineStr">
        <is>
          <t>PAGO PRESENCIAL:  05/06 de 4-6 pm (LOCAL DEL PUEBLO), PAGO YAPE: 948 227 636</t>
        </is>
      </c>
      <c r="W454" t="n">
        <v>20</v>
      </c>
      <c r="X454" t="n">
        <v>50</v>
      </c>
      <c r="Y454">
        <f>T454+W454+X454</f>
        <v/>
      </c>
    </row>
    <row r="455" hidden="1" ht="15.75" customHeight="1" s="4">
      <c r="A455" s="3" t="n">
        <v>17349</v>
      </c>
      <c r="B455" s="3" t="inlineStr">
        <is>
          <t>11/04/2026 al 10/05/2026</t>
        </is>
      </c>
      <c r="C455" s="2" t="n">
        <v>46179</v>
      </c>
      <c r="D455" s="2" t="n">
        <v>46174</v>
      </c>
      <c r="E455" s="2" t="n">
        <v>46122</v>
      </c>
      <c r="F455" s="2" t="n">
        <v>46152</v>
      </c>
      <c r="G455" t="inlineStr">
        <is>
          <t>VANESSA MILLA CRUZ</t>
        </is>
      </c>
      <c r="H455" t="inlineStr">
        <is>
          <t>S</t>
        </is>
      </c>
      <c r="I455" t="inlineStr">
        <is>
          <t>3</t>
        </is>
      </c>
      <c r="J455" t="n">
        <v>22</v>
      </c>
      <c r="K455" t="n">
        <v>34</v>
      </c>
      <c r="L455">
        <f>K455-J455</f>
        <v/>
      </c>
      <c r="M455" t="n">
        <v>12</v>
      </c>
      <c r="N455">
        <f>IF(L455&lt;&gt;M455,1,0)</f>
        <v/>
      </c>
      <c r="O455" t="n">
        <v>12</v>
      </c>
      <c r="R455" t="n">
        <v>25</v>
      </c>
      <c r="S455" t="n">
        <v>3</v>
      </c>
      <c r="T455" s="3">
        <f>SUM(O455:S455)</f>
        <v/>
      </c>
      <c r="U455" s="3">
        <f>IF(P455&lt;8,"USTED ESTÁ AL DÍA","USTED NO ESTÁ AL DÍA")</f>
        <v/>
      </c>
      <c r="V455" s="3" t="inlineStr">
        <is>
          <t>PAGO PRESENCIAL:  05/06 de 4-6 pm (LOCAL DEL PUEBLO), PAGO YAPE: 948 227 636</t>
        </is>
      </c>
      <c r="W455" t="n">
        <v>50</v>
      </c>
      <c r="Y455">
        <f>T455+W455+X455</f>
        <v/>
      </c>
    </row>
    <row r="456" hidden="1" ht="15.75" customHeight="1" s="4">
      <c r="A456" s="3" t="n">
        <v>17350</v>
      </c>
      <c r="B456" s="3" t="inlineStr">
        <is>
          <t>11/04/2026 al 10/05/2026</t>
        </is>
      </c>
      <c r="C456" s="2" t="n">
        <v>46179</v>
      </c>
      <c r="D456" s="2" t="n">
        <v>46174</v>
      </c>
      <c r="E456" s="2" t="n">
        <v>46122</v>
      </c>
      <c r="F456" s="2" t="n">
        <v>46152</v>
      </c>
      <c r="G456" t="inlineStr">
        <is>
          <t>RUBI MORENO COSME</t>
        </is>
      </c>
      <c r="H456" t="inlineStr">
        <is>
          <t>S</t>
        </is>
      </c>
      <c r="I456" t="inlineStr">
        <is>
          <t>7</t>
        </is>
      </c>
      <c r="J456" t="n">
        <v>194</v>
      </c>
      <c r="K456" t="n">
        <v>195</v>
      </c>
      <c r="L456">
        <f>K456-J456</f>
        <v/>
      </c>
      <c r="M456" t="n">
        <v>5</v>
      </c>
      <c r="O456" t="n">
        <v>5</v>
      </c>
      <c r="S456" t="n">
        <v>3</v>
      </c>
      <c r="T456" s="3">
        <f>SUM(O456:S456)</f>
        <v/>
      </c>
      <c r="U456" s="3">
        <f>IF(P456&lt;8,"USTED ESTÁ AL DÍA","USTED NO ESTÁ AL DÍA")</f>
        <v/>
      </c>
      <c r="V456" s="3" t="inlineStr">
        <is>
          <t>PAGO PRESENCIAL:  05/06 de 4-6 pm (LOCAL DEL PUEBLO), PAGO YAPE: 948 227 636</t>
        </is>
      </c>
      <c r="W456" t="n">
        <v>50</v>
      </c>
      <c r="X456" t="n">
        <v>75</v>
      </c>
      <c r="Y456">
        <f>T456+W456+X456</f>
        <v/>
      </c>
    </row>
    <row r="457" hidden="1" ht="15.75" customHeight="1" s="4">
      <c r="A457" s="3" t="n">
        <v>17351</v>
      </c>
      <c r="B457" s="3" t="inlineStr">
        <is>
          <t>11/04/2026 al 10/05/2026</t>
        </is>
      </c>
      <c r="C457" s="2" t="n">
        <v>46179</v>
      </c>
      <c r="D457" s="2" t="n">
        <v>46174</v>
      </c>
      <c r="E457" s="2" t="n">
        <v>46122</v>
      </c>
      <c r="F457" s="2" t="n">
        <v>46152</v>
      </c>
      <c r="G457" t="inlineStr">
        <is>
          <t>WALTER SOLORZANO MELGAREJO</t>
        </is>
      </c>
      <c r="H457" t="inlineStr">
        <is>
          <t>S</t>
        </is>
      </c>
      <c r="I457" t="inlineStr">
        <is>
          <t>8</t>
        </is>
      </c>
      <c r="J457" t="n">
        <v>345</v>
      </c>
      <c r="K457" t="n">
        <v>349</v>
      </c>
      <c r="L457">
        <f>K457-J457</f>
        <v/>
      </c>
      <c r="M457" t="n">
        <v>5</v>
      </c>
      <c r="O457" t="n">
        <v>5</v>
      </c>
      <c r="S457" t="n">
        <v>3</v>
      </c>
      <c r="T457" s="3">
        <f>SUM(O457:S457)</f>
        <v/>
      </c>
      <c r="U457" s="3">
        <f>IF(P457&lt;8,"USTED ESTÁ AL DÍA","USTED NO ESTÁ AL DÍA")</f>
        <v/>
      </c>
      <c r="V457" s="3" t="inlineStr">
        <is>
          <t>PAGO PRESENCIAL:  05/06 de 4-6 pm (LOCAL DEL PUEBLO), PAGO YAPE: 948 227 636</t>
        </is>
      </c>
      <c r="W457" t="n">
        <v>30</v>
      </c>
      <c r="Y457">
        <f>T457+W457+X457</f>
        <v/>
      </c>
    </row>
    <row r="458" hidden="1" ht="15.75" customHeight="1" s="4">
      <c r="A458" s="3" t="n">
        <v>17352</v>
      </c>
      <c r="B458" s="3" t="inlineStr">
        <is>
          <t>11/04/2026 al 10/05/2026</t>
        </is>
      </c>
      <c r="C458" s="2" t="n">
        <v>46179</v>
      </c>
      <c r="D458" s="2" t="n">
        <v>46174</v>
      </c>
      <c r="E458" s="2" t="n">
        <v>46122</v>
      </c>
      <c r="F458" s="2" t="n">
        <v>46152</v>
      </c>
      <c r="G458" t="inlineStr">
        <is>
          <t>LUCIA MORENO ROSALES</t>
        </is>
      </c>
      <c r="H458" t="inlineStr">
        <is>
          <t>S</t>
        </is>
      </c>
      <c r="I458" t="inlineStr">
        <is>
          <t>9</t>
        </is>
      </c>
      <c r="J458" t="n">
        <v>826</v>
      </c>
      <c r="K458" t="n">
        <v>831</v>
      </c>
      <c r="L458">
        <f>K458-J458</f>
        <v/>
      </c>
      <c r="M458" t="n">
        <v>5</v>
      </c>
      <c r="O458" t="n">
        <v>5</v>
      </c>
      <c r="S458" t="n">
        <v>3</v>
      </c>
      <c r="T458" s="3">
        <f>SUM(O458:S458)</f>
        <v/>
      </c>
      <c r="U458" s="3">
        <f>IF(P458&lt;8,"USTED ESTÁ AL DÍA","USTED NO ESTÁ AL DÍA")</f>
        <v/>
      </c>
      <c r="V458" s="3" t="inlineStr">
        <is>
          <t>PAGO PRESENCIAL:  05/06 de 4-6 pm (LOCAL DEL PUEBLO), PAGO YAPE: 948 227 636</t>
        </is>
      </c>
      <c r="W458" t="n">
        <v>30</v>
      </c>
      <c r="X458" t="n">
        <v>50</v>
      </c>
      <c r="Y458">
        <f>T458+W458+X458</f>
        <v/>
      </c>
    </row>
    <row r="459" hidden="1" ht="15.75" customHeight="1" s="4">
      <c r="A459" s="3" t="n">
        <v>17353</v>
      </c>
      <c r="B459" s="3" t="inlineStr">
        <is>
          <t>11/04/2026 al 10/05/2026</t>
        </is>
      </c>
      <c r="C459" s="2" t="n">
        <v>46179</v>
      </c>
      <c r="D459" s="2" t="n">
        <v>46174</v>
      </c>
      <c r="E459" s="2" t="n">
        <v>46122</v>
      </c>
      <c r="F459" s="2" t="n">
        <v>46152</v>
      </c>
      <c r="G459" t="inlineStr">
        <is>
          <t>MAXIMO FELIPE MORENO ROSALES</t>
        </is>
      </c>
      <c r="H459" t="inlineStr">
        <is>
          <t>S</t>
        </is>
      </c>
      <c r="I459" t="inlineStr">
        <is>
          <t>10</t>
        </is>
      </c>
      <c r="J459" t="n">
        <v>1821</v>
      </c>
      <c r="K459" t="n">
        <v>1825</v>
      </c>
      <c r="L459">
        <f>K459-J459</f>
        <v/>
      </c>
      <c r="M459" t="n">
        <v>5</v>
      </c>
      <c r="O459" t="n">
        <v>5</v>
      </c>
      <c r="S459" t="n">
        <v>3</v>
      </c>
      <c r="T459" s="3">
        <f>SUM(O459:S459)</f>
        <v/>
      </c>
      <c r="U459" s="3">
        <f>IF(P459&lt;8,"USTED ESTÁ AL DÍA","USTED NO ESTÁ AL DÍA")</f>
        <v/>
      </c>
      <c r="V459" s="3" t="inlineStr">
        <is>
          <t>PAGO PRESENCIAL:  05/06 de 4-6 pm (LOCAL DEL PUEBLO), PAGO YAPE: 948 227 636</t>
        </is>
      </c>
      <c r="Y459">
        <f>T459+W459+X459</f>
        <v/>
      </c>
    </row>
    <row r="460" hidden="1" ht="15.75" customHeight="1" s="4">
      <c r="A460" s="3" t="n">
        <v>17354</v>
      </c>
      <c r="B460" s="3" t="inlineStr">
        <is>
          <t>11/04/2026 al 10/05/2026</t>
        </is>
      </c>
      <c r="C460" s="2" t="n">
        <v>46179</v>
      </c>
      <c r="D460" s="2" t="n">
        <v>46174</v>
      </c>
      <c r="E460" s="2" t="n">
        <v>46122</v>
      </c>
      <c r="F460" s="2" t="n">
        <v>46152</v>
      </c>
      <c r="G460" t="inlineStr">
        <is>
          <t>BERNARDINO GAMARRA JIMENEZ</t>
        </is>
      </c>
      <c r="H460" t="inlineStr">
        <is>
          <t>S</t>
        </is>
      </c>
      <c r="I460" t="inlineStr">
        <is>
          <t>11</t>
        </is>
      </c>
      <c r="J460" t="n">
        <v>1397</v>
      </c>
      <c r="K460" t="n">
        <v>1399</v>
      </c>
      <c r="L460">
        <f>K460-J460</f>
        <v/>
      </c>
      <c r="M460" t="n">
        <v>5</v>
      </c>
      <c r="O460" t="n">
        <v>5</v>
      </c>
      <c r="S460" t="n">
        <v>3</v>
      </c>
      <c r="T460" s="3">
        <f>SUM(O460:S460)</f>
        <v/>
      </c>
      <c r="U460" s="3">
        <f>IF(P460&lt;8,"USTED ESTÁ AL DÍA","USTED NO ESTÁ AL DÍA")</f>
        <v/>
      </c>
      <c r="V460" s="3" t="inlineStr">
        <is>
          <t>PAGO PRESENCIAL:  05/06 de 4-6 pm (LOCAL DEL PUEBLO), PAGO YAPE: 948 227 636</t>
        </is>
      </c>
      <c r="Y460">
        <f>T460+W460+X460</f>
        <v/>
      </c>
    </row>
    <row r="461" hidden="1" ht="15.75" customHeight="1" s="4">
      <c r="A461" s="3" t="n">
        <v>17355</v>
      </c>
      <c r="B461" s="3" t="inlineStr">
        <is>
          <t>11/04/2026 al 10/05/2026</t>
        </is>
      </c>
      <c r="C461" s="2" t="n">
        <v>46179</v>
      </c>
      <c r="D461" s="2" t="n">
        <v>46174</v>
      </c>
      <c r="E461" s="2" t="n">
        <v>46122</v>
      </c>
      <c r="F461" s="2" t="n">
        <v>46152</v>
      </c>
      <c r="G461" t="inlineStr">
        <is>
          <t>GINA CORREA VILLALOBOS DE ROSAS</t>
        </is>
      </c>
      <c r="H461" t="inlineStr">
        <is>
          <t>S</t>
        </is>
      </c>
      <c r="I461" t="inlineStr">
        <is>
          <t>12</t>
        </is>
      </c>
      <c r="J461" t="n">
        <v>65</v>
      </c>
      <c r="K461" t="n">
        <v>66</v>
      </c>
      <c r="L461">
        <f>K461-J461</f>
        <v/>
      </c>
      <c r="M461" t="n">
        <v>5</v>
      </c>
      <c r="O461" t="n">
        <v>5</v>
      </c>
      <c r="S461" t="n">
        <v>3</v>
      </c>
      <c r="T461" s="3">
        <f>SUM(O461:S461)</f>
        <v/>
      </c>
      <c r="U461" s="3">
        <f>IF(P461&lt;8,"USTED ESTÁ AL DÍA","USTED NO ESTÁ AL DÍA")</f>
        <v/>
      </c>
      <c r="V461" s="3" t="inlineStr">
        <is>
          <t>PAGO PRESENCIAL:  05/06 de 4-6 pm (LOCAL DEL PUEBLO), PAGO YAPE: 948 227 636</t>
        </is>
      </c>
      <c r="W461" t="n">
        <v>30</v>
      </c>
      <c r="Y461">
        <f>T461+W461+X461</f>
        <v/>
      </c>
    </row>
    <row r="462" hidden="1" ht="15.75" customHeight="1" s="4">
      <c r="A462" s="3" t="n">
        <v>17356</v>
      </c>
      <c r="B462" s="3" t="inlineStr">
        <is>
          <t>11/04/2026 al 10/05/2026</t>
        </is>
      </c>
      <c r="C462" s="2" t="n">
        <v>46179</v>
      </c>
      <c r="D462" s="2" t="n">
        <v>46174</v>
      </c>
      <c r="E462" s="2" t="n">
        <v>46122</v>
      </c>
      <c r="F462" s="2" t="n">
        <v>46152</v>
      </c>
      <c r="G462" t="inlineStr">
        <is>
          <t>ANA GARRO ROJAS</t>
        </is>
      </c>
      <c r="H462" t="inlineStr">
        <is>
          <t>S</t>
        </is>
      </c>
      <c r="I462" t="inlineStr">
        <is>
          <t>13</t>
        </is>
      </c>
      <c r="J462" t="n">
        <v>4516</v>
      </c>
      <c r="K462" t="n">
        <v>4534</v>
      </c>
      <c r="L462">
        <f>K462-J462</f>
        <v/>
      </c>
      <c r="M462" t="n">
        <v>18</v>
      </c>
      <c r="N462">
        <f>IF(L462&lt;&gt;M462,1,0)</f>
        <v/>
      </c>
      <c r="O462" t="n">
        <v>18</v>
      </c>
      <c r="S462" t="n">
        <v>3</v>
      </c>
      <c r="T462" s="3">
        <f>SUM(O462:S462)</f>
        <v/>
      </c>
      <c r="U462" s="3">
        <f>IF(P462&lt;8,"USTED ESTÁ AL DÍA","USTED NO ESTÁ AL DÍA")</f>
        <v/>
      </c>
      <c r="V462" s="3" t="inlineStr">
        <is>
          <t>PAGO PRESENCIAL:  05/06 de 4-6 pm (LOCAL DEL PUEBLO), PAGO YAPE: 948 227 636</t>
        </is>
      </c>
      <c r="W462" t="n">
        <v>50</v>
      </c>
      <c r="X462" t="n">
        <v>50</v>
      </c>
      <c r="Y462">
        <f>T462+W462+X462</f>
        <v/>
      </c>
    </row>
    <row r="463" hidden="1" ht="15.75" customHeight="1" s="4">
      <c r="A463" s="3" t="n">
        <v>17357</v>
      </c>
      <c r="B463" s="3" t="inlineStr">
        <is>
          <t>11/04/2026 al 10/05/2026</t>
        </is>
      </c>
      <c r="C463" s="2" t="n">
        <v>46179</v>
      </c>
      <c r="D463" s="2" t="n">
        <v>46174</v>
      </c>
      <c r="E463" s="2" t="n">
        <v>46122</v>
      </c>
      <c r="F463" s="2" t="n">
        <v>46152</v>
      </c>
      <c r="G463" t="inlineStr">
        <is>
          <t>NANCY ELIDA MORENO TORRES</t>
        </is>
      </c>
      <c r="H463" t="inlineStr">
        <is>
          <t>S</t>
        </is>
      </c>
      <c r="I463" t="inlineStr">
        <is>
          <t>15</t>
        </is>
      </c>
      <c r="J463" t="n">
        <v>1578</v>
      </c>
      <c r="K463" t="n">
        <v>1588</v>
      </c>
      <c r="L463">
        <f>K463-J463</f>
        <v/>
      </c>
      <c r="M463" t="n">
        <v>10</v>
      </c>
      <c r="N463">
        <f>IF(L463&lt;&gt;M463,1,0)</f>
        <v/>
      </c>
      <c r="O463" t="n">
        <v>10</v>
      </c>
      <c r="S463" t="n">
        <v>3</v>
      </c>
      <c r="T463" s="3">
        <f>SUM(O463:S463)</f>
        <v/>
      </c>
      <c r="U463" s="3">
        <f>IF(P463&lt;8,"USTED ESTÁ AL DÍA","USTED NO ESTÁ AL DÍA")</f>
        <v/>
      </c>
      <c r="V463" s="3" t="inlineStr">
        <is>
          <t>PAGO PRESENCIAL:  05/06 de 4-6 pm (LOCAL DEL PUEBLO), PAGO YAPE: 948 227 636</t>
        </is>
      </c>
      <c r="Y463">
        <f>T463+W463+X463</f>
        <v/>
      </c>
    </row>
    <row r="464" hidden="1" ht="15.75" customHeight="1" s="4">
      <c r="A464" s="3" t="n">
        <v>17358</v>
      </c>
      <c r="B464" s="3" t="inlineStr">
        <is>
          <t>11/04/2026 al 10/05/2026</t>
        </is>
      </c>
      <c r="C464" s="2" t="n">
        <v>46179</v>
      </c>
      <c r="D464" s="2" t="n">
        <v>46174</v>
      </c>
      <c r="E464" s="2" t="n">
        <v>46122</v>
      </c>
      <c r="F464" s="2" t="n">
        <v>46152</v>
      </c>
      <c r="G464" t="inlineStr">
        <is>
          <t>VICTORIA COSME CERNA</t>
        </is>
      </c>
      <c r="H464" t="inlineStr">
        <is>
          <t>S</t>
        </is>
      </c>
      <c r="I464" t="inlineStr">
        <is>
          <t>6</t>
        </is>
      </c>
      <c r="L464">
        <f>K464-J464</f>
        <v/>
      </c>
      <c r="S464" t="n">
        <v>0</v>
      </c>
      <c r="T464" s="3">
        <f>SUM(O464:S464)</f>
        <v/>
      </c>
      <c r="U464" s="3">
        <f>IF(P464&lt;8,"USTED ESTÁ AL DÍA","USTED NO ESTÁ AL DÍA")</f>
        <v/>
      </c>
      <c r="V464" s="3" t="inlineStr">
        <is>
          <t>PAGO PRESENCIAL:  05/06 de 4-6 pm (LOCAL DEL PUEBLO), PAGO YAPE: 948 227 636</t>
        </is>
      </c>
      <c r="W464" t="n">
        <v>50</v>
      </c>
      <c r="X464" t="n">
        <v>75</v>
      </c>
      <c r="Y464">
        <f>T464+W464+X464</f>
        <v/>
      </c>
    </row>
    <row r="465" hidden="1" ht="15.75" customHeight="1" s="4">
      <c r="A465" s="3" t="n">
        <v>17359</v>
      </c>
      <c r="B465" s="3" t="inlineStr">
        <is>
          <t>11/04/2026 al 10/05/2026</t>
        </is>
      </c>
      <c r="C465" s="2" t="n">
        <v>46179</v>
      </c>
      <c r="D465" s="2" t="n">
        <v>46174</v>
      </c>
      <c r="E465" s="2" t="n">
        <v>46122</v>
      </c>
      <c r="F465" s="2" t="n">
        <v>46152</v>
      </c>
      <c r="G465" t="inlineStr">
        <is>
          <t>ANA ISABEL GARRO ROJAS</t>
        </is>
      </c>
      <c r="H465" t="inlineStr">
        <is>
          <t>S</t>
        </is>
      </c>
      <c r="I465" t="inlineStr">
        <is>
          <t>14</t>
        </is>
      </c>
      <c r="L465">
        <f>K465-J465</f>
        <v/>
      </c>
      <c r="S465" t="n">
        <v>0</v>
      </c>
      <c r="T465" s="3">
        <f>SUM(O465:S465)</f>
        <v/>
      </c>
      <c r="U465" s="3">
        <f>IF(P465&lt;8,"USTED ESTÁ AL DÍA","USTED NO ESTÁ AL DÍA")</f>
        <v/>
      </c>
      <c r="V465" s="3" t="inlineStr">
        <is>
          <t>PAGO PRESENCIAL:  05/06 de 4-6 pm (LOCAL DEL PUEBLO), PAGO YAPE: 948 227 636</t>
        </is>
      </c>
      <c r="W465" t="n">
        <v>50</v>
      </c>
      <c r="X465" t="n">
        <v>75</v>
      </c>
      <c r="Y465">
        <f>T465+W465+X465</f>
        <v/>
      </c>
    </row>
    <row r="466" hidden="1" ht="15.75" customHeight="1" s="4">
      <c r="A466" s="3" t="n">
        <v>17360</v>
      </c>
      <c r="B466" s="3" t="inlineStr">
        <is>
          <t>11/04/2026 al 10/05/2026</t>
        </is>
      </c>
      <c r="C466" s="2" t="n">
        <v>46179</v>
      </c>
      <c r="D466" s="2" t="n">
        <v>46174</v>
      </c>
      <c r="E466" s="2" t="n">
        <v>46122</v>
      </c>
      <c r="F466" s="2" t="n">
        <v>46152</v>
      </c>
      <c r="G466" t="inlineStr">
        <is>
          <t>YOLANDA RIMAC CULLA</t>
        </is>
      </c>
      <c r="H466" t="inlineStr">
        <is>
          <t>T</t>
        </is>
      </c>
      <c r="I466" t="inlineStr">
        <is>
          <t>9</t>
        </is>
      </c>
      <c r="J466" t="n">
        <v>601</v>
      </c>
      <c r="K466" t="n">
        <v>601</v>
      </c>
      <c r="L466">
        <f>K466-J466</f>
        <v/>
      </c>
      <c r="M466" t="n">
        <v>5</v>
      </c>
      <c r="O466" t="n">
        <v>5</v>
      </c>
      <c r="P466" t="n">
        <v>176</v>
      </c>
      <c r="Q466" t="n">
        <v>40</v>
      </c>
      <c r="S466" t="n">
        <v>3</v>
      </c>
      <c r="T466" s="3">
        <f>SUM(O466:S466)</f>
        <v/>
      </c>
      <c r="U466" s="3">
        <f>IF(P466&lt;8,"USTED ESTÁ AL DÍA","USTED NO ESTÁ AL DÍA")</f>
        <v/>
      </c>
      <c r="V466" s="3" t="inlineStr">
        <is>
          <t>PAGO PRESENCIAL:  05/06 de 4-6 pm (LOCAL DEL PUEBLO), PAGO YAPE: 948 227 636</t>
        </is>
      </c>
      <c r="W466" t="n">
        <v>120</v>
      </c>
      <c r="X466" t="n">
        <v>75</v>
      </c>
      <c r="Y466">
        <f>T466+W466+X466</f>
        <v/>
      </c>
    </row>
    <row r="467" hidden="1" ht="15.75" customHeight="1" s="4">
      <c r="A467" s="3" t="n">
        <v>17361</v>
      </c>
      <c r="B467" s="3" t="inlineStr">
        <is>
          <t>11/04/2026 al 10/05/2026</t>
        </is>
      </c>
      <c r="C467" s="2" t="n">
        <v>46179</v>
      </c>
      <c r="D467" s="2" t="n">
        <v>46174</v>
      </c>
      <c r="E467" s="2" t="n">
        <v>46122</v>
      </c>
      <c r="F467" s="2" t="n">
        <v>46152</v>
      </c>
      <c r="G467" t="inlineStr">
        <is>
          <t>JUVENAL MENDOZA JULCA</t>
        </is>
      </c>
      <c r="H467" t="inlineStr">
        <is>
          <t>T</t>
        </is>
      </c>
      <c r="I467" t="inlineStr">
        <is>
          <t>17</t>
        </is>
      </c>
      <c r="J467" t="n">
        <v>2403</v>
      </c>
      <c r="K467" t="n">
        <v>2403</v>
      </c>
      <c r="L467">
        <f>K467-J467</f>
        <v/>
      </c>
      <c r="M467" t="n">
        <v>5</v>
      </c>
      <c r="O467" t="n">
        <v>5</v>
      </c>
      <c r="P467" t="n">
        <v>168</v>
      </c>
      <c r="Q467" t="n">
        <v>40</v>
      </c>
      <c r="S467" t="n">
        <v>3</v>
      </c>
      <c r="T467" s="3">
        <f>SUM(O467:S467)</f>
        <v/>
      </c>
      <c r="U467" s="3">
        <f>IF(P467&lt;8,"USTED ESTÁ AL DÍA","USTED NO ESTÁ AL DÍA")</f>
        <v/>
      </c>
      <c r="V467" s="3" t="inlineStr">
        <is>
          <t>PAGO PRESENCIAL:  05/06 de 4-6 pm (LOCAL DEL PUEBLO), PAGO YAPE: 948 227 636</t>
        </is>
      </c>
      <c r="W467" t="n">
        <v>120</v>
      </c>
      <c r="X467" t="n">
        <v>75</v>
      </c>
      <c r="Y467">
        <f>T467+W467+X467</f>
        <v/>
      </c>
    </row>
    <row r="468" hidden="1" ht="15.75" customHeight="1" s="4">
      <c r="A468" s="3" t="n">
        <v>17362</v>
      </c>
      <c r="B468" s="3" t="inlineStr">
        <is>
          <t>11/04/2026 al 10/05/2026</t>
        </is>
      </c>
      <c r="C468" s="2" t="n">
        <v>46179</v>
      </c>
      <c r="D468" s="2" t="n">
        <v>46174</v>
      </c>
      <c r="E468" s="2" t="n">
        <v>46122</v>
      </c>
      <c r="F468" s="2" t="n">
        <v>46152</v>
      </c>
      <c r="G468" t="inlineStr">
        <is>
          <t>MERCEDES DE LA CRUZ DURAN</t>
        </is>
      </c>
      <c r="H468" t="inlineStr">
        <is>
          <t>T</t>
        </is>
      </c>
      <c r="I468" t="inlineStr">
        <is>
          <t>1</t>
        </is>
      </c>
      <c r="J468" t="n">
        <v>2701</v>
      </c>
      <c r="K468" t="n">
        <v>2712</v>
      </c>
      <c r="L468">
        <f>K468-J468</f>
        <v/>
      </c>
      <c r="M468" t="n">
        <v>11</v>
      </c>
      <c r="N468">
        <f>IF(L468&lt;&gt;M468,1,0)</f>
        <v/>
      </c>
      <c r="O468" t="n">
        <v>11</v>
      </c>
      <c r="S468" t="n">
        <v>3</v>
      </c>
      <c r="T468" s="3">
        <f>SUM(O468:S468)</f>
        <v/>
      </c>
      <c r="U468" s="3">
        <f>IF(P468&lt;8,"USTED ESTÁ AL DÍA","USTED NO ESTÁ AL DÍA")</f>
        <v/>
      </c>
      <c r="V468" s="3" t="inlineStr">
        <is>
          <t>PAGO PRESENCIAL:  05/06 de 4-6 pm (LOCAL DEL PUEBLO), PAGO YAPE: 948 227 636</t>
        </is>
      </c>
      <c r="Y468">
        <f>T468+W468+X468</f>
        <v/>
      </c>
    </row>
    <row r="469" hidden="1" ht="15.75" customHeight="1" s="4">
      <c r="A469" s="3" t="n">
        <v>17363</v>
      </c>
      <c r="B469" s="3" t="inlineStr">
        <is>
          <t>11/04/2026 al 10/05/2026</t>
        </is>
      </c>
      <c r="C469" s="2" t="n">
        <v>46179</v>
      </c>
      <c r="D469" s="2" t="n">
        <v>46174</v>
      </c>
      <c r="E469" s="2" t="n">
        <v>46122</v>
      </c>
      <c r="F469" s="2" t="n">
        <v>46152</v>
      </c>
      <c r="G469" t="inlineStr">
        <is>
          <t>FREDY JIMENEZ MONTALVO</t>
        </is>
      </c>
      <c r="H469" t="inlineStr">
        <is>
          <t>T</t>
        </is>
      </c>
      <c r="I469" t="inlineStr">
        <is>
          <t>3</t>
        </is>
      </c>
      <c r="J469" t="n">
        <v>183</v>
      </c>
      <c r="K469" t="n">
        <v>191</v>
      </c>
      <c r="L469">
        <f>K469-J469</f>
        <v/>
      </c>
      <c r="M469" t="n">
        <v>8</v>
      </c>
      <c r="N469">
        <f>IF(L469&lt;&gt;M469,1,0)</f>
        <v/>
      </c>
      <c r="O469" t="n">
        <v>8</v>
      </c>
      <c r="S469" t="n">
        <v>3</v>
      </c>
      <c r="T469" s="3">
        <f>SUM(O469:S469)</f>
        <v/>
      </c>
      <c r="U469" s="3">
        <f>IF(P469&lt;8,"USTED ESTÁ AL DÍA","USTED NO ESTÁ AL DÍA")</f>
        <v/>
      </c>
      <c r="V469" s="3" t="inlineStr">
        <is>
          <t>PAGO PRESENCIAL:  05/06 de 4-6 pm (LOCAL DEL PUEBLO), PAGO YAPE: 948 227 636</t>
        </is>
      </c>
      <c r="Y469">
        <f>T469+W469+X469</f>
        <v/>
      </c>
    </row>
    <row r="470" hidden="1" ht="15.75" customHeight="1" s="4">
      <c r="A470" s="3" t="n">
        <v>17364</v>
      </c>
      <c r="B470" s="3" t="inlineStr">
        <is>
          <t>11/04/2026 al 10/05/2026</t>
        </is>
      </c>
      <c r="C470" s="2" t="n">
        <v>46179</v>
      </c>
      <c r="D470" s="2" t="n">
        <v>46174</v>
      </c>
      <c r="E470" s="2" t="n">
        <v>46122</v>
      </c>
      <c r="F470" s="2" t="n">
        <v>46152</v>
      </c>
      <c r="G470" t="inlineStr">
        <is>
          <t>JOSE PALMADERA MILLA</t>
        </is>
      </c>
      <c r="H470" t="inlineStr">
        <is>
          <t>T</t>
        </is>
      </c>
      <c r="I470" t="inlineStr">
        <is>
          <t>4</t>
        </is>
      </c>
      <c r="J470" t="n">
        <v>1430</v>
      </c>
      <c r="K470" t="n">
        <v>1438</v>
      </c>
      <c r="L470">
        <f>K470-J470</f>
        <v/>
      </c>
      <c r="M470" t="n">
        <v>8</v>
      </c>
      <c r="N470">
        <f>IF(L470&lt;&gt;M470,1,0)</f>
        <v/>
      </c>
      <c r="O470" t="n">
        <v>8</v>
      </c>
      <c r="S470" t="n">
        <v>3</v>
      </c>
      <c r="T470" s="3">
        <f>SUM(O470:S470)</f>
        <v/>
      </c>
      <c r="U470" s="3">
        <f>IF(P470&lt;8,"USTED ESTÁ AL DÍA","USTED NO ESTÁ AL DÍA")</f>
        <v/>
      </c>
      <c r="V470" s="3" t="inlineStr">
        <is>
          <t>PAGO PRESENCIAL:  05/06 de 4-6 pm (LOCAL DEL PUEBLO), PAGO YAPE: 948 227 636</t>
        </is>
      </c>
      <c r="X470" t="n">
        <v>50</v>
      </c>
      <c r="Y470">
        <f>T470+W470+X470</f>
        <v/>
      </c>
    </row>
    <row r="471" hidden="1" ht="15.75" customHeight="1" s="4">
      <c r="A471" s="3" t="n">
        <v>17365</v>
      </c>
      <c r="B471" s="3" t="inlineStr">
        <is>
          <t>11/04/2026 al 10/05/2026</t>
        </is>
      </c>
      <c r="C471" s="2" t="n">
        <v>46179</v>
      </c>
      <c r="D471" s="2" t="n">
        <v>46174</v>
      </c>
      <c r="E471" s="2" t="n">
        <v>46122</v>
      </c>
      <c r="F471" s="2" t="n">
        <v>46152</v>
      </c>
      <c r="G471" t="inlineStr">
        <is>
          <t>NELY VALLADARES DOMINGUEZ</t>
        </is>
      </c>
      <c r="H471" t="inlineStr">
        <is>
          <t>T</t>
        </is>
      </c>
      <c r="I471" t="inlineStr">
        <is>
          <t>5</t>
        </is>
      </c>
      <c r="J471" t="n">
        <v>372</v>
      </c>
      <c r="K471" t="n">
        <v>372</v>
      </c>
      <c r="L471">
        <f>K471-J471</f>
        <v/>
      </c>
      <c r="M471" t="n">
        <v>5</v>
      </c>
      <c r="O471" t="n">
        <v>5</v>
      </c>
      <c r="S471" t="n">
        <v>3</v>
      </c>
      <c r="T471" s="3">
        <f>SUM(O471:S471)</f>
        <v/>
      </c>
      <c r="U471" s="3">
        <f>IF(P471&lt;8,"USTED ESTÁ AL DÍA","USTED NO ESTÁ AL DÍA")</f>
        <v/>
      </c>
      <c r="V471" s="3" t="inlineStr">
        <is>
          <t>PAGO PRESENCIAL:  05/06 de 4-6 pm (LOCAL DEL PUEBLO), PAGO YAPE: 948 227 636</t>
        </is>
      </c>
      <c r="Y471">
        <f>T471+W471+X471</f>
        <v/>
      </c>
    </row>
    <row r="472" hidden="1" ht="15.75" customHeight="1" s="4">
      <c r="A472" s="3" t="n">
        <v>17366</v>
      </c>
      <c r="B472" s="3" t="inlineStr">
        <is>
          <t>11/04/2026 al 10/05/2026</t>
        </is>
      </c>
      <c r="C472" s="2" t="n">
        <v>46179</v>
      </c>
      <c r="D472" s="2" t="n">
        <v>46174</v>
      </c>
      <c r="E472" s="2" t="n">
        <v>46122</v>
      </c>
      <c r="F472" s="2" t="n">
        <v>46152</v>
      </c>
      <c r="G472" t="inlineStr">
        <is>
          <t>JACINTA AMEZ AGUIRRE</t>
        </is>
      </c>
      <c r="H472" t="inlineStr">
        <is>
          <t>T</t>
        </is>
      </c>
      <c r="I472" t="inlineStr">
        <is>
          <t>6</t>
        </is>
      </c>
      <c r="J472" t="n">
        <v>195</v>
      </c>
      <c r="K472" t="n">
        <v>230</v>
      </c>
      <c r="L472">
        <f>K472-J472</f>
        <v/>
      </c>
      <c r="M472" t="n">
        <v>35</v>
      </c>
      <c r="N472">
        <f>IF(L472&lt;&gt;M472,1,0)</f>
        <v/>
      </c>
      <c r="O472" t="n">
        <v>35</v>
      </c>
      <c r="S472" t="n">
        <v>3</v>
      </c>
      <c r="T472" s="3">
        <f>SUM(O472:S472)</f>
        <v/>
      </c>
      <c r="U472" s="3">
        <f>IF(P472&lt;8,"USTED ESTÁ AL DÍA","USTED NO ESTÁ AL DÍA")</f>
        <v/>
      </c>
      <c r="V472" s="3" t="inlineStr">
        <is>
          <t>PAGO PRESENCIAL:  05/06 de 4-6 pm (LOCAL DEL PUEBLO), PAGO YAPE: 948 227 636</t>
        </is>
      </c>
      <c r="Y472">
        <f>T472+W472+X472</f>
        <v/>
      </c>
    </row>
    <row r="473" hidden="1" ht="15.75" customHeight="1" s="4">
      <c r="A473" s="3" t="n">
        <v>17367</v>
      </c>
      <c r="B473" s="3" t="inlineStr">
        <is>
          <t>11/04/2026 al 10/05/2026</t>
        </is>
      </c>
      <c r="C473" s="2" t="n">
        <v>46179</v>
      </c>
      <c r="D473" s="2" t="n">
        <v>46174</v>
      </c>
      <c r="E473" s="2" t="n">
        <v>46122</v>
      </c>
      <c r="F473" s="2" t="n">
        <v>46152</v>
      </c>
      <c r="G473" t="inlineStr">
        <is>
          <t>ROBERTO PALMADERA MILLA</t>
        </is>
      </c>
      <c r="H473" t="inlineStr">
        <is>
          <t>T</t>
        </is>
      </c>
      <c r="I473" t="inlineStr">
        <is>
          <t>7</t>
        </is>
      </c>
      <c r="J473" t="n">
        <v>35</v>
      </c>
      <c r="K473" t="n">
        <v>52</v>
      </c>
      <c r="L473">
        <f>K473-J473</f>
        <v/>
      </c>
      <c r="M473" t="n">
        <v>17</v>
      </c>
      <c r="N473">
        <f>IF(L473&lt;&gt;M473,1,0)</f>
        <v/>
      </c>
      <c r="O473" t="n">
        <v>17</v>
      </c>
      <c r="R473" t="n">
        <v>25</v>
      </c>
      <c r="S473" t="n">
        <v>3</v>
      </c>
      <c r="T473" s="3">
        <f>SUM(O473:S473)</f>
        <v/>
      </c>
      <c r="U473" s="3">
        <f>IF(P473&lt;8,"USTED ESTÁ AL DÍA","USTED NO ESTÁ AL DÍA")</f>
        <v/>
      </c>
      <c r="V473" s="3" t="inlineStr">
        <is>
          <t>PAGO PRESENCIAL:  05/06 de 4-6 pm (LOCAL DEL PUEBLO), PAGO YAPE: 948 227 636</t>
        </is>
      </c>
      <c r="X473" t="n">
        <v>50</v>
      </c>
      <c r="Y473">
        <f>T473+W473+X473</f>
        <v/>
      </c>
    </row>
    <row r="474" hidden="1" ht="15.75" customHeight="1" s="4">
      <c r="A474" s="3" t="n">
        <v>17368</v>
      </c>
      <c r="B474" s="3" t="inlineStr">
        <is>
          <t>11/04/2026 al 10/05/2026</t>
        </is>
      </c>
      <c r="C474" s="2" t="n">
        <v>46179</v>
      </c>
      <c r="D474" s="2" t="n">
        <v>46174</v>
      </c>
      <c r="E474" s="2" t="n">
        <v>46122</v>
      </c>
      <c r="F474" s="2" t="n">
        <v>46152</v>
      </c>
      <c r="G474" t="inlineStr">
        <is>
          <t>MIGUEL MELENDEZ JULCA</t>
        </is>
      </c>
      <c r="H474" t="inlineStr">
        <is>
          <t>T</t>
        </is>
      </c>
      <c r="I474" t="inlineStr">
        <is>
          <t>8</t>
        </is>
      </c>
      <c r="J474" t="n">
        <v>28</v>
      </c>
      <c r="K474" t="n">
        <v>39</v>
      </c>
      <c r="L474">
        <f>K474-J474</f>
        <v/>
      </c>
      <c r="M474" t="n">
        <v>11</v>
      </c>
      <c r="N474">
        <f>IF(L474&lt;&gt;M474,1,0)</f>
        <v/>
      </c>
      <c r="O474" t="n">
        <v>11</v>
      </c>
      <c r="R474" t="n">
        <v>25</v>
      </c>
      <c r="S474" t="n">
        <v>3</v>
      </c>
      <c r="T474" s="3">
        <f>SUM(O474:S474)</f>
        <v/>
      </c>
      <c r="U474" s="3">
        <f>IF(P474&lt;8,"USTED ESTÁ AL DÍA","USTED NO ESTÁ AL DÍA")</f>
        <v/>
      </c>
      <c r="V474" s="3" t="inlineStr">
        <is>
          <t>PAGO PRESENCIAL:  05/06 de 4-6 pm (LOCAL DEL PUEBLO), PAGO YAPE: 948 227 636</t>
        </is>
      </c>
      <c r="W474" t="n">
        <v>30</v>
      </c>
      <c r="Y474">
        <f>T474+W474+X474</f>
        <v/>
      </c>
    </row>
    <row r="475" hidden="1" ht="15.75" customHeight="1" s="4">
      <c r="A475" s="3" t="n">
        <v>17369</v>
      </c>
      <c r="B475" s="3" t="inlineStr">
        <is>
          <t>11/04/2026 al 10/05/2026</t>
        </is>
      </c>
      <c r="C475" s="2" t="n">
        <v>46179</v>
      </c>
      <c r="D475" s="2" t="n">
        <v>46174</v>
      </c>
      <c r="E475" s="2" t="n">
        <v>46122</v>
      </c>
      <c r="F475" s="2" t="n">
        <v>46152</v>
      </c>
      <c r="G475" t="inlineStr">
        <is>
          <t>MIRO ORLANDO CERNA MELGAREJO</t>
        </is>
      </c>
      <c r="H475" t="inlineStr">
        <is>
          <t>T</t>
        </is>
      </c>
      <c r="I475" t="inlineStr">
        <is>
          <t>10</t>
        </is>
      </c>
      <c r="J475" t="n">
        <v>237</v>
      </c>
      <c r="K475" t="n">
        <v>263</v>
      </c>
      <c r="L475">
        <f>K475-J475</f>
        <v/>
      </c>
      <c r="M475" t="n">
        <v>26</v>
      </c>
      <c r="N475">
        <f>IF(L475&lt;&gt;M475,1,0)</f>
        <v/>
      </c>
      <c r="O475" t="n">
        <v>26</v>
      </c>
      <c r="S475" t="n">
        <v>3</v>
      </c>
      <c r="T475" s="3">
        <f>SUM(O475:S475)</f>
        <v/>
      </c>
      <c r="U475" s="3">
        <f>IF(P475&lt;8,"USTED ESTÁ AL DÍA","USTED NO ESTÁ AL DÍA")</f>
        <v/>
      </c>
      <c r="V475" s="3" t="inlineStr">
        <is>
          <t>PAGO PRESENCIAL:  05/06 de 4-6 pm (LOCAL DEL PUEBLO), PAGO YAPE: 948 227 636</t>
        </is>
      </c>
      <c r="X475" t="n">
        <v>50</v>
      </c>
      <c r="Y475">
        <f>T475+W475+X475</f>
        <v/>
      </c>
    </row>
    <row r="476" hidden="1" ht="15.75" customHeight="1" s="4">
      <c r="A476" s="3" t="n">
        <v>17370</v>
      </c>
      <c r="B476" s="3" t="inlineStr">
        <is>
          <t>11/04/2026 al 10/05/2026</t>
        </is>
      </c>
      <c r="C476" s="2" t="n">
        <v>46179</v>
      </c>
      <c r="D476" s="2" t="n">
        <v>46174</v>
      </c>
      <c r="E476" s="2" t="n">
        <v>46122</v>
      </c>
      <c r="F476" s="2" t="n">
        <v>46152</v>
      </c>
      <c r="G476" t="inlineStr">
        <is>
          <t>RIVET VILLANUEVA ALEGRIA</t>
        </is>
      </c>
      <c r="H476" t="inlineStr">
        <is>
          <t>T</t>
        </is>
      </c>
      <c r="I476" t="inlineStr">
        <is>
          <t>11</t>
        </is>
      </c>
      <c r="J476" t="n">
        <v>507</v>
      </c>
      <c r="K476" t="n">
        <v>510</v>
      </c>
      <c r="L476">
        <f>K476-J476</f>
        <v/>
      </c>
      <c r="M476" t="n">
        <v>5</v>
      </c>
      <c r="O476" t="n">
        <v>5</v>
      </c>
      <c r="S476" t="n">
        <v>3</v>
      </c>
      <c r="T476" s="3">
        <f>SUM(O476:S476)</f>
        <v/>
      </c>
      <c r="U476" s="3">
        <f>IF(P476&lt;8,"USTED ESTÁ AL DÍA","USTED NO ESTÁ AL DÍA")</f>
        <v/>
      </c>
      <c r="V476" s="3" t="inlineStr">
        <is>
          <t>PAGO PRESENCIAL:  05/06 de 4-6 pm (LOCAL DEL PUEBLO), PAGO YAPE: 948 227 636</t>
        </is>
      </c>
      <c r="W476" t="n">
        <v>30</v>
      </c>
      <c r="Y476">
        <f>T476+W476+X476</f>
        <v/>
      </c>
    </row>
    <row r="477" hidden="1" ht="15.75" customHeight="1" s="4">
      <c r="A477" s="3" t="n">
        <v>17371</v>
      </c>
      <c r="B477" s="3" t="inlineStr">
        <is>
          <t>11/04/2026 al 10/05/2026</t>
        </is>
      </c>
      <c r="C477" s="2" t="n">
        <v>46179</v>
      </c>
      <c r="D477" s="2" t="n">
        <v>46174</v>
      </c>
      <c r="E477" s="2" t="n">
        <v>46122</v>
      </c>
      <c r="F477" s="2" t="n">
        <v>46152</v>
      </c>
      <c r="G477" t="inlineStr">
        <is>
          <t>LUISA AURORA SAMARITANO VEGA</t>
        </is>
      </c>
      <c r="H477" t="inlineStr">
        <is>
          <t>T</t>
        </is>
      </c>
      <c r="I477" t="inlineStr">
        <is>
          <t>13</t>
        </is>
      </c>
      <c r="J477" t="n">
        <v>60</v>
      </c>
      <c r="K477" t="n">
        <v>67</v>
      </c>
      <c r="L477">
        <f>K477-J477</f>
        <v/>
      </c>
      <c r="M477" t="n">
        <v>7</v>
      </c>
      <c r="N477">
        <f>IF(L477&lt;&gt;M477,1,0)</f>
        <v/>
      </c>
      <c r="O477" t="n">
        <v>7</v>
      </c>
      <c r="S477" t="n">
        <v>3</v>
      </c>
      <c r="T477" s="3">
        <f>SUM(O477:S477)</f>
        <v/>
      </c>
      <c r="U477" s="3">
        <f>IF(P477&lt;8,"USTED ESTÁ AL DÍA","USTED NO ESTÁ AL DÍA")</f>
        <v/>
      </c>
      <c r="V477" s="3" t="inlineStr">
        <is>
          <t>PAGO PRESENCIAL:  05/06 de 4-6 pm (LOCAL DEL PUEBLO), PAGO YAPE: 948 227 636</t>
        </is>
      </c>
      <c r="W477" t="n">
        <v>20</v>
      </c>
      <c r="X477" t="n">
        <v>75</v>
      </c>
      <c r="Y477">
        <f>T477+W477+X477</f>
        <v/>
      </c>
    </row>
    <row r="478" hidden="1" ht="15.75" customHeight="1" s="4">
      <c r="A478" s="3" t="n">
        <v>17372</v>
      </c>
      <c r="B478" s="3" t="inlineStr">
        <is>
          <t>11/04/2026 al 10/05/2026</t>
        </is>
      </c>
      <c r="C478" s="2" t="n">
        <v>46179</v>
      </c>
      <c r="D478" s="2" t="n">
        <v>46174</v>
      </c>
      <c r="E478" s="2" t="n">
        <v>46122</v>
      </c>
      <c r="F478" s="2" t="n">
        <v>46152</v>
      </c>
      <c r="G478" t="inlineStr">
        <is>
          <t>PEDRO CANDACHO HUARAC</t>
        </is>
      </c>
      <c r="H478" t="inlineStr">
        <is>
          <t>T</t>
        </is>
      </c>
      <c r="I478" t="inlineStr">
        <is>
          <t>14</t>
        </is>
      </c>
      <c r="J478" t="n">
        <v>23</v>
      </c>
      <c r="K478" t="n">
        <v>33</v>
      </c>
      <c r="L478">
        <f>K478-J478</f>
        <v/>
      </c>
      <c r="M478" t="n">
        <v>10</v>
      </c>
      <c r="N478">
        <f>IF(L478&lt;&gt;M478,1,0)</f>
        <v/>
      </c>
      <c r="O478" t="n">
        <v>10</v>
      </c>
      <c r="Q478" t="n">
        <v>40</v>
      </c>
      <c r="R478" t="n">
        <v>25</v>
      </c>
      <c r="S478" t="n">
        <v>3</v>
      </c>
      <c r="T478" s="3">
        <f>SUM(O478:S478)</f>
        <v/>
      </c>
      <c r="U478" s="3">
        <f>IF(P478&lt;8,"USTED ESTÁ AL DÍA","USTED NO ESTÁ AL DÍA")</f>
        <v/>
      </c>
      <c r="V478" s="3" t="inlineStr">
        <is>
          <t>PAGO PRESENCIAL:  05/06 de 4-6 pm (LOCAL DEL PUEBLO), PAGO YAPE: 948 227 636</t>
        </is>
      </c>
      <c r="W478" t="n">
        <v>20</v>
      </c>
      <c r="X478" t="n">
        <v>75</v>
      </c>
      <c r="Y478">
        <f>T478+W478+X478</f>
        <v/>
      </c>
    </row>
    <row r="479" hidden="1" ht="15.75" customHeight="1" s="4">
      <c r="A479" s="3" t="n">
        <v>17373</v>
      </c>
      <c r="B479" s="3" t="inlineStr">
        <is>
          <t>11/04/2026 al 10/05/2026</t>
        </is>
      </c>
      <c r="C479" s="2" t="n">
        <v>46179</v>
      </c>
      <c r="D479" s="2" t="n">
        <v>46174</v>
      </c>
      <c r="E479" s="2" t="n">
        <v>46122</v>
      </c>
      <c r="F479" s="2" t="n">
        <v>46152</v>
      </c>
      <c r="G479" t="inlineStr">
        <is>
          <t>ZUNILDA CANDACHO HUARAC</t>
        </is>
      </c>
      <c r="H479" t="inlineStr">
        <is>
          <t>T</t>
        </is>
      </c>
      <c r="I479" t="inlineStr">
        <is>
          <t>15</t>
        </is>
      </c>
      <c r="J479" t="n">
        <v>369</v>
      </c>
      <c r="K479" t="n">
        <v>371</v>
      </c>
      <c r="L479">
        <f>K479-J479</f>
        <v/>
      </c>
      <c r="M479" t="n">
        <v>5</v>
      </c>
      <c r="O479" t="n">
        <v>5</v>
      </c>
      <c r="S479" t="n">
        <v>3</v>
      </c>
      <c r="T479" s="3">
        <f>SUM(O479:S479)</f>
        <v/>
      </c>
      <c r="U479" s="3">
        <f>IF(P479&lt;8,"USTED ESTÁ AL DÍA","USTED NO ESTÁ AL DÍA")</f>
        <v/>
      </c>
      <c r="V479" s="3" t="inlineStr">
        <is>
          <t>PAGO PRESENCIAL:  05/06 de 4-6 pm (LOCAL DEL PUEBLO), PAGO YAPE: 948 227 636</t>
        </is>
      </c>
      <c r="Y479">
        <f>T479+W479+X479</f>
        <v/>
      </c>
    </row>
    <row r="480" hidden="1" ht="15.75" customHeight="1" s="4">
      <c r="A480" s="3" t="n">
        <v>17374</v>
      </c>
      <c r="B480" s="3" t="inlineStr">
        <is>
          <t>11/04/2026 al 10/05/2026</t>
        </is>
      </c>
      <c r="C480" s="2" t="n">
        <v>46179</v>
      </c>
      <c r="D480" s="2" t="n">
        <v>46174</v>
      </c>
      <c r="E480" s="2" t="n">
        <v>46122</v>
      </c>
      <c r="F480" s="2" t="n">
        <v>46152</v>
      </c>
      <c r="G480" t="inlineStr">
        <is>
          <t>NORMA JARA ESPINOZA</t>
        </is>
      </c>
      <c r="H480" t="inlineStr">
        <is>
          <t>T</t>
        </is>
      </c>
      <c r="I480" t="inlineStr">
        <is>
          <t>16</t>
        </is>
      </c>
      <c r="J480" t="n">
        <v>144</v>
      </c>
      <c r="K480" t="n">
        <v>156</v>
      </c>
      <c r="L480">
        <f>K480-J480</f>
        <v/>
      </c>
      <c r="M480" t="n">
        <v>12</v>
      </c>
      <c r="N480">
        <f>IF(L480&lt;&gt;M480,1,0)</f>
        <v/>
      </c>
      <c r="O480" t="n">
        <v>12</v>
      </c>
      <c r="S480" t="n">
        <v>3</v>
      </c>
      <c r="T480" s="3">
        <f>SUM(O480:S480)</f>
        <v/>
      </c>
      <c r="U480" s="3">
        <f>IF(P480&lt;8,"USTED ESTÁ AL DÍA","USTED NO ESTÁ AL DÍA")</f>
        <v/>
      </c>
      <c r="V480" s="3" t="inlineStr">
        <is>
          <t>PAGO PRESENCIAL:  05/06 de 4-6 pm (LOCAL DEL PUEBLO), PAGO YAPE: 948 227 636</t>
        </is>
      </c>
      <c r="W480" t="n">
        <v>50</v>
      </c>
      <c r="Y480">
        <f>T480+W480+X480</f>
        <v/>
      </c>
    </row>
    <row r="481" hidden="1" ht="15.75" customHeight="1" s="4">
      <c r="A481" s="3" t="n">
        <v>17375</v>
      </c>
      <c r="B481" s="3" t="inlineStr">
        <is>
          <t>11/04/2026 al 10/05/2026</t>
        </is>
      </c>
      <c r="C481" s="2" t="n">
        <v>46179</v>
      </c>
      <c r="D481" s="2" t="n">
        <v>46174</v>
      </c>
      <c r="E481" s="2" t="n">
        <v>46122</v>
      </c>
      <c r="F481" s="2" t="n">
        <v>46152</v>
      </c>
      <c r="G481" t="inlineStr">
        <is>
          <t>MERCEDES FRANCISCA VEGA SALES</t>
        </is>
      </c>
      <c r="H481" t="inlineStr">
        <is>
          <t>T</t>
        </is>
      </c>
      <c r="I481" t="inlineStr">
        <is>
          <t>18</t>
        </is>
      </c>
      <c r="J481" t="n">
        <v>1787</v>
      </c>
      <c r="K481" t="n">
        <v>1801</v>
      </c>
      <c r="L481">
        <f>K481-J481</f>
        <v/>
      </c>
      <c r="M481" t="n">
        <v>14</v>
      </c>
      <c r="N481">
        <f>IF(L481&lt;&gt;M481,1,0)</f>
        <v/>
      </c>
      <c r="O481" t="n">
        <v>14</v>
      </c>
      <c r="S481" t="n">
        <v>3</v>
      </c>
      <c r="T481" s="3">
        <f>SUM(O481:S481)</f>
        <v/>
      </c>
      <c r="U481" s="3">
        <f>IF(P481&lt;8,"USTED ESTÁ AL DÍA","USTED NO ESTÁ AL DÍA")</f>
        <v/>
      </c>
      <c r="V481" s="3" t="inlineStr">
        <is>
          <t>PAGO PRESENCIAL:  05/06 de 4-6 pm (LOCAL DEL PUEBLO), PAGO YAPE: 948 227 636</t>
        </is>
      </c>
      <c r="W481" t="n">
        <v>50</v>
      </c>
      <c r="Y481">
        <f>T481+W481+X481</f>
        <v/>
      </c>
    </row>
    <row r="482" hidden="1" ht="15.75" customHeight="1" s="4">
      <c r="A482" s="3" t="n">
        <v>17376</v>
      </c>
      <c r="B482" s="3" t="inlineStr">
        <is>
          <t>11/04/2026 al 10/05/2026</t>
        </is>
      </c>
      <c r="C482" s="2" t="n">
        <v>46179</v>
      </c>
      <c r="D482" s="2" t="n">
        <v>46174</v>
      </c>
      <c r="E482" s="2" t="n">
        <v>46122</v>
      </c>
      <c r="F482" s="2" t="n">
        <v>46152</v>
      </c>
      <c r="G482" t="inlineStr">
        <is>
          <t>MIGUEL ANGEL ROMERO VALLADARES</t>
        </is>
      </c>
      <c r="H482" t="inlineStr">
        <is>
          <t>T</t>
        </is>
      </c>
      <c r="I482" t="inlineStr">
        <is>
          <t>19</t>
        </is>
      </c>
      <c r="J482" t="n">
        <v>431</v>
      </c>
      <c r="K482" t="n">
        <v>446</v>
      </c>
      <c r="L482">
        <f>K482-J482</f>
        <v/>
      </c>
      <c r="M482" t="n">
        <v>15</v>
      </c>
      <c r="N482">
        <f>IF(L482&lt;&gt;M482,1,0)</f>
        <v/>
      </c>
      <c r="O482" t="n">
        <v>15</v>
      </c>
      <c r="S482" t="n">
        <v>3</v>
      </c>
      <c r="T482" s="3">
        <f>SUM(O482:S482)</f>
        <v/>
      </c>
      <c r="U482" s="3">
        <f>IF(P482&lt;8,"USTED ESTÁ AL DÍA","USTED NO ESTÁ AL DÍA")</f>
        <v/>
      </c>
      <c r="V482" s="3" t="inlineStr">
        <is>
          <t>PAGO PRESENCIAL:  05/06 de 4-6 pm (LOCAL DEL PUEBLO), PAGO YAPE: 948 227 636</t>
        </is>
      </c>
      <c r="W482" t="n">
        <v>30</v>
      </c>
      <c r="Y482">
        <f>T482+W482+X482</f>
        <v/>
      </c>
    </row>
    <row r="483" hidden="1" ht="15.75" customHeight="1" s="4">
      <c r="A483" s="3" t="n">
        <v>17377</v>
      </c>
      <c r="B483" s="3" t="inlineStr">
        <is>
          <t>11/04/2026 al 10/05/2026</t>
        </is>
      </c>
      <c r="C483" s="2" t="n">
        <v>46179</v>
      </c>
      <c r="D483" s="2" t="n">
        <v>46174</v>
      </c>
      <c r="E483" s="2" t="n">
        <v>46122</v>
      </c>
      <c r="F483" s="2" t="n">
        <v>46152</v>
      </c>
      <c r="G483" t="inlineStr">
        <is>
          <t>MARIA JULCA RIOS</t>
        </is>
      </c>
      <c r="H483" t="inlineStr">
        <is>
          <t>T</t>
        </is>
      </c>
      <c r="I483" t="inlineStr">
        <is>
          <t>20</t>
        </is>
      </c>
      <c r="J483" t="n">
        <v>443</v>
      </c>
      <c r="K483" t="n">
        <v>449</v>
      </c>
      <c r="L483">
        <f>K483-J483</f>
        <v/>
      </c>
      <c r="M483" t="n">
        <v>6</v>
      </c>
      <c r="N483">
        <f>IF(L483&lt;&gt;M483,1,0)</f>
        <v/>
      </c>
      <c r="O483" t="n">
        <v>6</v>
      </c>
      <c r="S483" t="n">
        <v>3</v>
      </c>
      <c r="T483" s="3">
        <f>SUM(O483:S483)</f>
        <v/>
      </c>
      <c r="U483" s="3">
        <f>IF(P483&lt;8,"USTED ESTÁ AL DÍA","USTED NO ESTÁ AL DÍA")</f>
        <v/>
      </c>
      <c r="V483" s="3" t="inlineStr">
        <is>
          <t>PAGO PRESENCIAL:  05/06 de 4-6 pm (LOCAL DEL PUEBLO), PAGO YAPE: 948 227 636</t>
        </is>
      </c>
      <c r="Y483">
        <f>T483+W483+X483</f>
        <v/>
      </c>
    </row>
    <row r="484" hidden="1" ht="15.75" customHeight="1" s="4">
      <c r="A484" s="3" t="n">
        <v>17378</v>
      </c>
      <c r="B484" s="3" t="inlineStr">
        <is>
          <t>11/04/2026 al 10/05/2026</t>
        </is>
      </c>
      <c r="C484" s="2" t="n">
        <v>46179</v>
      </c>
      <c r="D484" s="2" t="n">
        <v>46174</v>
      </c>
      <c r="E484" s="2" t="n">
        <v>46122</v>
      </c>
      <c r="F484" s="2" t="n">
        <v>46152</v>
      </c>
      <c r="G484" t="inlineStr">
        <is>
          <t>HERMELINDA CHAVEZ ESPINOZA</t>
        </is>
      </c>
      <c r="H484" t="inlineStr">
        <is>
          <t>T</t>
        </is>
      </c>
      <c r="I484" t="inlineStr">
        <is>
          <t>2</t>
        </is>
      </c>
      <c r="L484">
        <f>K484-J484</f>
        <v/>
      </c>
      <c r="S484" t="n">
        <v>0</v>
      </c>
      <c r="T484" s="3">
        <f>SUM(O484:S484)</f>
        <v/>
      </c>
      <c r="U484" s="3">
        <f>IF(P484&lt;8,"USTED ESTÁ AL DÍA","USTED NO ESTÁ AL DÍA")</f>
        <v/>
      </c>
      <c r="V484" s="3" t="inlineStr">
        <is>
          <t>PAGO PRESENCIAL:  05/06 de 4-6 pm (LOCAL DEL PUEBLO), PAGO YAPE: 948 227 636</t>
        </is>
      </c>
      <c r="W484" t="n">
        <v>20</v>
      </c>
      <c r="Y484">
        <f>T484+W484+X484</f>
        <v/>
      </c>
    </row>
    <row r="485" hidden="1" ht="15.75" customHeight="1" s="4">
      <c r="A485" s="3" t="n">
        <v>17379</v>
      </c>
      <c r="B485" s="3" t="inlineStr">
        <is>
          <t>11/04/2026 al 10/05/2026</t>
        </is>
      </c>
      <c r="C485" s="2" t="n">
        <v>46179</v>
      </c>
      <c r="D485" s="2" t="n">
        <v>46174</v>
      </c>
      <c r="E485" s="2" t="n">
        <v>46122</v>
      </c>
      <c r="F485" s="2" t="n">
        <v>46152</v>
      </c>
      <c r="G485" t="inlineStr">
        <is>
          <t>SAMUEL SAMARITANO ROMERO</t>
        </is>
      </c>
      <c r="H485" t="inlineStr">
        <is>
          <t>T</t>
        </is>
      </c>
      <c r="I485" t="inlineStr">
        <is>
          <t>12</t>
        </is>
      </c>
      <c r="L485">
        <f>K485-J485</f>
        <v/>
      </c>
      <c r="S485" t="n">
        <v>0</v>
      </c>
      <c r="T485" s="3">
        <f>SUM(O485:S485)</f>
        <v/>
      </c>
      <c r="U485" s="3">
        <f>IF(P485&lt;8,"USTED ESTÁ AL DÍA","USTED NO ESTÁ AL DÍA")</f>
        <v/>
      </c>
      <c r="V485" s="3" t="inlineStr">
        <is>
          <t>PAGO PRESENCIAL:  05/06 de 4-6 pm (LOCAL DEL PUEBLO), PAGO YAPE: 948 227 636</t>
        </is>
      </c>
      <c r="W485" t="n">
        <v>50</v>
      </c>
      <c r="X485" t="n">
        <v>75</v>
      </c>
      <c r="Y485">
        <f>T485+W485+X485</f>
        <v/>
      </c>
    </row>
    <row r="486" hidden="1" ht="15.75" customHeight="1" s="4">
      <c r="A486" s="3" t="n">
        <v>17380</v>
      </c>
      <c r="B486" s="3" t="inlineStr">
        <is>
          <t>11/04/2026 al 10/05/2026</t>
        </is>
      </c>
      <c r="C486" s="2" t="n">
        <v>46179</v>
      </c>
      <c r="D486" s="2" t="n">
        <v>46174</v>
      </c>
      <c r="E486" s="2" t="n">
        <v>46122</v>
      </c>
      <c r="F486" s="2" t="n">
        <v>46152</v>
      </c>
      <c r="G486" t="inlineStr">
        <is>
          <t>JOSE ZAPATA FLORES</t>
        </is>
      </c>
      <c r="H486" t="inlineStr">
        <is>
          <t>U</t>
        </is>
      </c>
      <c r="I486" t="inlineStr">
        <is>
          <t>1</t>
        </is>
      </c>
      <c r="J486" t="n">
        <v>2186</v>
      </c>
      <c r="K486" t="n">
        <v>2192</v>
      </c>
      <c r="L486">
        <f>K486-J486</f>
        <v/>
      </c>
      <c r="M486" t="n">
        <v>6</v>
      </c>
      <c r="N486">
        <f>IF(L486&lt;&gt;M486,1,0)</f>
        <v/>
      </c>
      <c r="O486" t="n">
        <v>6</v>
      </c>
      <c r="S486" t="n">
        <v>3</v>
      </c>
      <c r="T486" s="3">
        <f>SUM(O486:S486)</f>
        <v/>
      </c>
      <c r="U486" s="3">
        <f>IF(P486&lt;8,"USTED ESTÁ AL DÍA","USTED NO ESTÁ AL DÍA")</f>
        <v/>
      </c>
      <c r="V486" s="3" t="inlineStr">
        <is>
          <t>PAGO PRESENCIAL:  05/06 de 4-6 pm (LOCAL DEL PUEBLO), PAGO YAPE: 948 227 636</t>
        </is>
      </c>
      <c r="Y486">
        <f>T486+W486+X486</f>
        <v/>
      </c>
    </row>
    <row r="487" hidden="1" ht="15.75" customHeight="1" s="4">
      <c r="A487" s="3" t="n">
        <v>17381</v>
      </c>
      <c r="B487" s="3" t="inlineStr">
        <is>
          <t>11/04/2026 al 10/05/2026</t>
        </is>
      </c>
      <c r="C487" s="2" t="n">
        <v>46179</v>
      </c>
      <c r="D487" s="2" t="n">
        <v>46174</v>
      </c>
      <c r="E487" s="2" t="n">
        <v>46122</v>
      </c>
      <c r="F487" s="2" t="n">
        <v>46152</v>
      </c>
      <c r="G487" t="inlineStr">
        <is>
          <t>ALEXANDRA RIMAC CHINCHAY</t>
        </is>
      </c>
      <c r="H487" t="inlineStr">
        <is>
          <t>U</t>
        </is>
      </c>
      <c r="I487" t="inlineStr">
        <is>
          <t>2</t>
        </is>
      </c>
      <c r="J487" t="n">
        <v>389</v>
      </c>
      <c r="K487" t="n">
        <v>393</v>
      </c>
      <c r="L487">
        <f>K487-J487</f>
        <v/>
      </c>
      <c r="M487" t="n">
        <v>5</v>
      </c>
      <c r="O487" t="n">
        <v>5</v>
      </c>
      <c r="S487" t="n">
        <v>3</v>
      </c>
      <c r="T487" s="3">
        <f>SUM(O487:S487)</f>
        <v/>
      </c>
      <c r="U487" s="3">
        <f>IF(P487&lt;8,"USTED ESTÁ AL DÍA","USTED NO ESTÁ AL DÍA")</f>
        <v/>
      </c>
      <c r="V487" s="3" t="inlineStr">
        <is>
          <t>PAGO PRESENCIAL:  05/06 de 4-6 pm (LOCAL DEL PUEBLO), PAGO YAPE: 948 227 636</t>
        </is>
      </c>
      <c r="Y487">
        <f>T487+W487+X487</f>
        <v/>
      </c>
    </row>
    <row r="488" hidden="1" ht="15.75" customHeight="1" s="4">
      <c r="A488" s="3" t="n">
        <v>17382</v>
      </c>
      <c r="B488" s="3" t="inlineStr">
        <is>
          <t>11/04/2026 al 10/05/2026</t>
        </is>
      </c>
      <c r="C488" s="2" t="n">
        <v>46179</v>
      </c>
      <c r="D488" s="2" t="n">
        <v>46174</v>
      </c>
      <c r="E488" s="2" t="n">
        <v>46122</v>
      </c>
      <c r="F488" s="2" t="n">
        <v>46152</v>
      </c>
      <c r="G488" t="inlineStr">
        <is>
          <t>MARCELINA GOMEZ BONIFACIO</t>
        </is>
      </c>
      <c r="H488" t="inlineStr">
        <is>
          <t>U</t>
        </is>
      </c>
      <c r="I488" t="inlineStr">
        <is>
          <t>3</t>
        </is>
      </c>
      <c r="J488" t="n">
        <v>1042</v>
      </c>
      <c r="K488" t="n">
        <v>1048</v>
      </c>
      <c r="L488">
        <f>K488-J488</f>
        <v/>
      </c>
      <c r="M488" t="n">
        <v>6</v>
      </c>
      <c r="N488">
        <f>IF(L488&lt;&gt;M488,1,0)</f>
        <v/>
      </c>
      <c r="O488" t="n">
        <v>6</v>
      </c>
      <c r="S488" t="n">
        <v>3</v>
      </c>
      <c r="T488" s="3">
        <f>SUM(O488:S488)</f>
        <v/>
      </c>
      <c r="U488" s="3">
        <f>IF(P488&lt;8,"USTED ESTÁ AL DÍA","USTED NO ESTÁ AL DÍA")</f>
        <v/>
      </c>
      <c r="V488" s="3" t="inlineStr">
        <is>
          <t>PAGO PRESENCIAL:  05/06 de 4-6 pm (LOCAL DEL PUEBLO), PAGO YAPE: 948 227 636</t>
        </is>
      </c>
      <c r="W488" t="n">
        <v>50</v>
      </c>
      <c r="X488" t="n">
        <v>50</v>
      </c>
      <c r="Y488">
        <f>T488+W488+X488</f>
        <v/>
      </c>
    </row>
    <row r="489" hidden="1" ht="15.75" customHeight="1" s="4">
      <c r="A489" s="3" t="n">
        <v>17383</v>
      </c>
      <c r="B489" s="3" t="inlineStr">
        <is>
          <t>11/04/2026 al 10/05/2026</t>
        </is>
      </c>
      <c r="C489" s="2" t="n">
        <v>46179</v>
      </c>
      <c r="D489" s="2" t="n">
        <v>46174</v>
      </c>
      <c r="E489" s="2" t="n">
        <v>46122</v>
      </c>
      <c r="F489" s="2" t="n">
        <v>46152</v>
      </c>
      <c r="G489" t="inlineStr">
        <is>
          <t>AREA COMUNAL DEL PUEBLO</t>
        </is>
      </c>
      <c r="H489" t="inlineStr">
        <is>
          <t>U</t>
        </is>
      </c>
      <c r="I489" t="inlineStr">
        <is>
          <t>4</t>
        </is>
      </c>
      <c r="J489" t="n">
        <v>7</v>
      </c>
      <c r="K489" t="n">
        <v>7</v>
      </c>
      <c r="L489">
        <f>K489-J489</f>
        <v/>
      </c>
      <c r="M489" t="n">
        <v>5</v>
      </c>
      <c r="O489" t="n">
        <v>5</v>
      </c>
      <c r="S489" t="n">
        <v>3</v>
      </c>
      <c r="T489" s="3">
        <f>SUM(O489:S489)</f>
        <v/>
      </c>
      <c r="U489" s="3">
        <f>IF(P489&lt;8,"USTED ESTÁ AL DÍA","USTED NO ESTÁ AL DÍA")</f>
        <v/>
      </c>
      <c r="V489" s="3" t="inlineStr">
        <is>
          <t>PAGO PRESENCIAL:  05/06 de 4-6 pm (LOCAL DEL PUEBLO), PAGO YAPE: 948 227 636</t>
        </is>
      </c>
      <c r="Y489">
        <f>T489+W489+X489</f>
        <v/>
      </c>
    </row>
    <row r="490" hidden="1" ht="15.75" customHeight="1" s="4">
      <c r="A490" s="3" t="n">
        <v>17384</v>
      </c>
      <c r="B490" s="3" t="inlineStr">
        <is>
          <t>11/04/2026 al 10/05/2026</t>
        </is>
      </c>
      <c r="C490" s="2" t="n">
        <v>46179</v>
      </c>
      <c r="D490" s="2" t="n">
        <v>46174</v>
      </c>
      <c r="E490" s="2" t="n">
        <v>46122</v>
      </c>
      <c r="F490" s="2" t="n">
        <v>46152</v>
      </c>
      <c r="G490" t="inlineStr">
        <is>
          <t>BENILDA PALACIOS RODRIGUEZ</t>
        </is>
      </c>
      <c r="H490" t="inlineStr">
        <is>
          <t>U</t>
        </is>
      </c>
      <c r="I490" t="inlineStr">
        <is>
          <t>5</t>
        </is>
      </c>
      <c r="J490" t="n">
        <v>7199</v>
      </c>
      <c r="K490" t="n">
        <v>7201</v>
      </c>
      <c r="L490">
        <f>K490-J490</f>
        <v/>
      </c>
      <c r="M490" t="n">
        <v>5</v>
      </c>
      <c r="O490" t="n">
        <v>5</v>
      </c>
      <c r="S490" t="n">
        <v>3</v>
      </c>
      <c r="T490" s="3">
        <f>SUM(O490:S490)</f>
        <v/>
      </c>
      <c r="U490" s="3">
        <f>IF(P490&lt;8,"USTED ESTÁ AL DÍA","USTED NO ESTÁ AL DÍA")</f>
        <v/>
      </c>
      <c r="V490" s="3" t="inlineStr">
        <is>
          <t>PAGO PRESENCIAL:  05/06 de 4-6 pm (LOCAL DEL PUEBLO), PAGO YAPE: 948 227 636</t>
        </is>
      </c>
      <c r="X490" t="n">
        <v>50</v>
      </c>
      <c r="Y490">
        <f>T490+W490+X490</f>
        <v/>
      </c>
    </row>
    <row r="491" hidden="1" ht="15.75" customHeight="1" s="4">
      <c r="A491" s="3" t="n">
        <v>17385</v>
      </c>
      <c r="B491" s="3" t="inlineStr">
        <is>
          <t>11/04/2026 al 10/05/2026</t>
        </is>
      </c>
      <c r="C491" s="2" t="n">
        <v>46179</v>
      </c>
      <c r="D491" s="2" t="n">
        <v>46174</v>
      </c>
      <c r="E491" s="2" t="n">
        <v>46122</v>
      </c>
      <c r="F491" s="2" t="n">
        <v>46152</v>
      </c>
      <c r="G491" t="inlineStr">
        <is>
          <t>MILAGROS MEDRANO CALVO</t>
        </is>
      </c>
      <c r="H491" t="inlineStr">
        <is>
          <t>U</t>
        </is>
      </c>
      <c r="I491" t="inlineStr">
        <is>
          <t>6</t>
        </is>
      </c>
      <c r="J491" t="n">
        <v>1548</v>
      </c>
      <c r="K491" t="n">
        <v>1555</v>
      </c>
      <c r="L491">
        <f>K491-J491</f>
        <v/>
      </c>
      <c r="M491" t="n">
        <v>7</v>
      </c>
      <c r="N491">
        <f>IF(L491&lt;&gt;M491,1,0)</f>
        <v/>
      </c>
      <c r="O491" t="n">
        <v>7</v>
      </c>
      <c r="S491" t="n">
        <v>3</v>
      </c>
      <c r="T491" s="3">
        <f>SUM(O491:S491)</f>
        <v/>
      </c>
      <c r="U491" s="3">
        <f>IF(P491&lt;8,"USTED ESTÁ AL DÍA","USTED NO ESTÁ AL DÍA")</f>
        <v/>
      </c>
      <c r="V491" s="3" t="inlineStr">
        <is>
          <t>PAGO PRESENCIAL:  05/06 de 4-6 pm (LOCAL DEL PUEBLO), PAGO YAPE: 948 227 636</t>
        </is>
      </c>
      <c r="W491" t="n">
        <v>30</v>
      </c>
      <c r="Y491">
        <f>T491+W491+X491</f>
        <v/>
      </c>
    </row>
    <row r="492" hidden="1" ht="15.75" customHeight="1" s="4">
      <c r="A492" s="3" t="n">
        <v>17386</v>
      </c>
      <c r="B492" s="3" t="inlineStr">
        <is>
          <t>11/04/2026 al 10/05/2026</t>
        </is>
      </c>
      <c r="C492" s="2" t="n">
        <v>46179</v>
      </c>
      <c r="D492" s="2" t="n">
        <v>46174</v>
      </c>
      <c r="E492" s="2" t="n">
        <v>46122</v>
      </c>
      <c r="F492" s="2" t="n">
        <v>46152</v>
      </c>
      <c r="G492" t="inlineStr">
        <is>
          <t>VIOLETA CAURINO CABELLO</t>
        </is>
      </c>
      <c r="H492" t="inlineStr">
        <is>
          <t>V</t>
        </is>
      </c>
      <c r="I492" t="inlineStr">
        <is>
          <t>4</t>
        </is>
      </c>
      <c r="J492" t="n">
        <v>292</v>
      </c>
      <c r="K492" t="n">
        <v>295</v>
      </c>
      <c r="L492">
        <f>K492-J492</f>
        <v/>
      </c>
      <c r="M492" t="n">
        <v>5</v>
      </c>
      <c r="O492" t="n">
        <v>5</v>
      </c>
      <c r="P492" t="n">
        <v>16</v>
      </c>
      <c r="S492" t="n">
        <v>3</v>
      </c>
      <c r="T492" s="3">
        <f>SUM(O492:S492)</f>
        <v/>
      </c>
      <c r="U492" s="3">
        <f>IF(P492&lt;8,"USTED ESTÁ AL DÍA","USTED NO ESTÁ AL DÍA")</f>
        <v/>
      </c>
      <c r="V492" s="3" t="inlineStr">
        <is>
          <t>PAGO PRESENCIAL:  05/06 de 4-6 pm (LOCAL DEL PUEBLO), PAGO YAPE: 948 227 636</t>
        </is>
      </c>
      <c r="W492" t="n">
        <v>50</v>
      </c>
      <c r="X492" t="n">
        <v>75</v>
      </c>
      <c r="Y492">
        <f>T492+W492+X492</f>
        <v/>
      </c>
    </row>
    <row r="493" hidden="1" ht="15.75" customHeight="1" s="4">
      <c r="A493" s="3" t="n">
        <v>17387</v>
      </c>
      <c r="B493" s="3" t="inlineStr">
        <is>
          <t>11/04/2026 al 10/05/2026</t>
        </is>
      </c>
      <c r="C493" s="2" t="n">
        <v>46179</v>
      </c>
      <c r="D493" s="2" t="n">
        <v>46174</v>
      </c>
      <c r="E493" s="2" t="n">
        <v>46122</v>
      </c>
      <c r="F493" s="2" t="n">
        <v>46152</v>
      </c>
      <c r="G493" t="inlineStr">
        <is>
          <t>MIRIAM SIGUEÑAS SAENZ</t>
        </is>
      </c>
      <c r="H493" t="inlineStr">
        <is>
          <t>V</t>
        </is>
      </c>
      <c r="I493" t="inlineStr">
        <is>
          <t>10</t>
        </is>
      </c>
      <c r="J493" t="n">
        <v>2488</v>
      </c>
      <c r="K493" t="n">
        <v>2502</v>
      </c>
      <c r="L493">
        <f>K493-J493</f>
        <v/>
      </c>
      <c r="M493" t="n">
        <v>14</v>
      </c>
      <c r="N493">
        <f>IF(L493&lt;&gt;M493,1,0)</f>
        <v/>
      </c>
      <c r="O493" t="n">
        <v>14</v>
      </c>
      <c r="P493" t="n">
        <v>22</v>
      </c>
      <c r="S493" t="n">
        <v>3</v>
      </c>
      <c r="T493" s="3">
        <f>SUM(O493:S493)</f>
        <v/>
      </c>
      <c r="U493" s="3">
        <f>IF(P493&lt;8,"USTED ESTÁ AL DÍA","USTED NO ESTÁ AL DÍA")</f>
        <v/>
      </c>
      <c r="V493" s="3" t="inlineStr">
        <is>
          <t>PAGO PRESENCIAL:  05/06 de 4-6 pm (LOCAL DEL PUEBLO), PAGO YAPE: 948 227 636</t>
        </is>
      </c>
      <c r="X493" t="n">
        <v>50</v>
      </c>
      <c r="Y493">
        <f>T493+W493+X493</f>
        <v/>
      </c>
    </row>
    <row r="494" hidden="1" ht="15.75" customHeight="1" s="4">
      <c r="A494" s="3" t="n">
        <v>17388</v>
      </c>
      <c r="B494" s="3" t="inlineStr">
        <is>
          <t>11/04/2026 al 10/05/2026</t>
        </is>
      </c>
      <c r="C494" s="2" t="n">
        <v>46179</v>
      </c>
      <c r="D494" s="2" t="n">
        <v>46174</v>
      </c>
      <c r="E494" s="2" t="n">
        <v>46122</v>
      </c>
      <c r="F494" s="2" t="n">
        <v>46152</v>
      </c>
      <c r="G494" t="inlineStr">
        <is>
          <t>LEONARDO HUAMANI SOTELO</t>
        </is>
      </c>
      <c r="H494" t="inlineStr">
        <is>
          <t>V</t>
        </is>
      </c>
      <c r="I494" t="inlineStr">
        <is>
          <t>14</t>
        </is>
      </c>
      <c r="J494" t="n">
        <v>224</v>
      </c>
      <c r="K494" t="n">
        <v>224</v>
      </c>
      <c r="L494">
        <f>K494-J494</f>
        <v/>
      </c>
      <c r="M494" t="n">
        <v>5</v>
      </c>
      <c r="O494" t="n">
        <v>5</v>
      </c>
      <c r="P494" t="n">
        <v>8</v>
      </c>
      <c r="S494" t="n">
        <v>3</v>
      </c>
      <c r="T494" s="3">
        <f>SUM(O494:S494)</f>
        <v/>
      </c>
      <c r="U494" s="3">
        <f>IF(P494&lt;8,"USTED ESTÁ AL DÍA","USTED NO ESTÁ AL DÍA")</f>
        <v/>
      </c>
      <c r="V494" s="3" t="inlineStr">
        <is>
          <t>PAGO PRESENCIAL:  05/06 de 4-6 pm (LOCAL DEL PUEBLO), PAGO YAPE: 948 227 636</t>
        </is>
      </c>
      <c r="W494" t="n">
        <v>20</v>
      </c>
      <c r="Y494">
        <f>T494+W494+X494</f>
        <v/>
      </c>
    </row>
    <row r="495" hidden="1" ht="15.75" customHeight="1" s="4">
      <c r="A495" s="3" t="n">
        <v>17389</v>
      </c>
      <c r="B495" s="3" t="inlineStr">
        <is>
          <t>11/04/2026 al 10/05/2026</t>
        </is>
      </c>
      <c r="C495" s="2" t="n">
        <v>46179</v>
      </c>
      <c r="D495" s="2" t="n">
        <v>46174</v>
      </c>
      <c r="E495" s="2" t="n">
        <v>46122</v>
      </c>
      <c r="F495" s="2" t="n">
        <v>46152</v>
      </c>
      <c r="G495" t="inlineStr">
        <is>
          <t>YONI SOLORZANO BLAS</t>
        </is>
      </c>
      <c r="H495" t="inlineStr">
        <is>
          <t>V</t>
        </is>
      </c>
      <c r="I495" t="inlineStr">
        <is>
          <t>1</t>
        </is>
      </c>
      <c r="J495" t="n">
        <v>1149</v>
      </c>
      <c r="K495" t="n">
        <v>1157</v>
      </c>
      <c r="L495">
        <f>K495-J495</f>
        <v/>
      </c>
      <c r="M495" t="n">
        <v>8</v>
      </c>
      <c r="N495">
        <f>IF(L495&lt;&gt;M495,1,0)</f>
        <v/>
      </c>
      <c r="O495" t="n">
        <v>8</v>
      </c>
      <c r="S495" t="n">
        <v>3</v>
      </c>
      <c r="T495" s="3">
        <f>SUM(O495:S495)</f>
        <v/>
      </c>
      <c r="U495" s="3">
        <f>IF(P495&lt;8,"USTED ESTÁ AL DÍA","USTED NO ESTÁ AL DÍA")</f>
        <v/>
      </c>
      <c r="V495" s="3" t="inlineStr">
        <is>
          <t>PAGO PRESENCIAL:  05/06 de 4-6 pm (LOCAL DEL PUEBLO), PAGO YAPE: 948 227 636</t>
        </is>
      </c>
      <c r="Y495">
        <f>T495+W495+X495</f>
        <v/>
      </c>
    </row>
    <row r="496" hidden="1" ht="15.75" customHeight="1" s="4">
      <c r="A496" s="3" t="n">
        <v>17390</v>
      </c>
      <c r="B496" s="3" t="inlineStr">
        <is>
          <t>11/04/2026 al 10/05/2026</t>
        </is>
      </c>
      <c r="C496" s="2" t="n">
        <v>46179</v>
      </c>
      <c r="D496" s="2" t="n">
        <v>46174</v>
      </c>
      <c r="E496" s="2" t="n">
        <v>46122</v>
      </c>
      <c r="F496" s="2" t="n">
        <v>46152</v>
      </c>
      <c r="G496" t="inlineStr">
        <is>
          <t>JANET VILLANUEVA ALEGRIA</t>
        </is>
      </c>
      <c r="H496" t="inlineStr">
        <is>
          <t>V</t>
        </is>
      </c>
      <c r="I496" t="inlineStr">
        <is>
          <t>2</t>
        </is>
      </c>
      <c r="J496" t="n">
        <v>33</v>
      </c>
      <c r="K496" t="n">
        <v>33</v>
      </c>
      <c r="L496">
        <f>K496-J496</f>
        <v/>
      </c>
      <c r="M496" t="n">
        <v>5</v>
      </c>
      <c r="O496" t="n">
        <v>5</v>
      </c>
      <c r="P496" t="n">
        <v>8</v>
      </c>
      <c r="S496" t="n">
        <v>3</v>
      </c>
      <c r="T496" s="3">
        <f>SUM(O496:S496)</f>
        <v/>
      </c>
      <c r="U496" s="3">
        <f>IF(P496&lt;8,"USTED ESTÁ AL DÍA","USTED NO ESTÁ AL DÍA")</f>
        <v/>
      </c>
      <c r="V496" s="3" t="inlineStr">
        <is>
          <t>PAGO PRESENCIAL:  05/06 de 4-6 pm (LOCAL DEL PUEBLO), PAGO YAPE: 948 227 636</t>
        </is>
      </c>
      <c r="Y496">
        <f>T496+W496+X496</f>
        <v/>
      </c>
    </row>
    <row r="497" hidden="1" ht="15.75" customHeight="1" s="4">
      <c r="A497" s="3" t="n">
        <v>17391</v>
      </c>
      <c r="B497" s="3" t="inlineStr">
        <is>
          <t>11/04/2026 al 10/05/2026</t>
        </is>
      </c>
      <c r="C497" s="2" t="n">
        <v>46179</v>
      </c>
      <c r="D497" s="2" t="n">
        <v>46174</v>
      </c>
      <c r="E497" s="2" t="n">
        <v>46122</v>
      </c>
      <c r="F497" s="2" t="n">
        <v>46152</v>
      </c>
      <c r="G497" t="inlineStr">
        <is>
          <t>IGLESIA MOV. MISIONERO MUNDIAL</t>
        </is>
      </c>
      <c r="H497" t="inlineStr">
        <is>
          <t>V</t>
        </is>
      </c>
      <c r="I497" t="inlineStr">
        <is>
          <t>3</t>
        </is>
      </c>
      <c r="J497" t="n">
        <v>23</v>
      </c>
      <c r="K497" t="n">
        <v>23</v>
      </c>
      <c r="L497">
        <f>K497-J497</f>
        <v/>
      </c>
      <c r="M497" t="n">
        <v>5</v>
      </c>
      <c r="O497" t="n">
        <v>5</v>
      </c>
      <c r="S497" t="n">
        <v>3</v>
      </c>
      <c r="T497" s="3">
        <f>SUM(O497:S497)</f>
        <v/>
      </c>
      <c r="U497" s="3">
        <f>IF(P497&lt;8,"USTED ESTÁ AL DÍA","USTED NO ESTÁ AL DÍA")</f>
        <v/>
      </c>
      <c r="V497" s="3" t="inlineStr">
        <is>
          <t>PAGO PRESENCIAL:  05/06 de 4-6 pm (LOCAL DEL PUEBLO), PAGO YAPE: 948 227 636</t>
        </is>
      </c>
      <c r="Y497">
        <f>T497+W497+X497</f>
        <v/>
      </c>
    </row>
    <row r="498" hidden="1" ht="15.75" customHeight="1" s="4">
      <c r="A498" s="3" t="n">
        <v>17392</v>
      </c>
      <c r="B498" s="3" t="inlineStr">
        <is>
          <t>11/04/2026 al 10/05/2026</t>
        </is>
      </c>
      <c r="C498" s="2" t="n">
        <v>46179</v>
      </c>
      <c r="D498" s="2" t="n">
        <v>46174</v>
      </c>
      <c r="E498" s="2" t="n">
        <v>46122</v>
      </c>
      <c r="F498" s="2" t="n">
        <v>46152</v>
      </c>
      <c r="G498" t="inlineStr">
        <is>
          <t>RUMALDA MORENO ROSALES</t>
        </is>
      </c>
      <c r="H498" t="inlineStr">
        <is>
          <t>V</t>
        </is>
      </c>
      <c r="I498" t="inlineStr">
        <is>
          <t>5</t>
        </is>
      </c>
      <c r="J498" t="n">
        <v>1079</v>
      </c>
      <c r="K498" t="n">
        <v>1095</v>
      </c>
      <c r="L498">
        <f>K498-J498</f>
        <v/>
      </c>
      <c r="M498" t="n">
        <v>16</v>
      </c>
      <c r="N498">
        <f>IF(L498&lt;&gt;M498,1,0)</f>
        <v/>
      </c>
      <c r="O498" t="n">
        <v>16</v>
      </c>
      <c r="S498" t="n">
        <v>3</v>
      </c>
      <c r="T498" s="3">
        <f>SUM(O498:S498)</f>
        <v/>
      </c>
      <c r="U498" s="3">
        <f>IF(P498&lt;8,"USTED ESTÁ AL DÍA","USTED NO ESTÁ AL DÍA")</f>
        <v/>
      </c>
      <c r="V498" s="3" t="inlineStr">
        <is>
          <t>PAGO PRESENCIAL:  05/06 de 4-6 pm (LOCAL DEL PUEBLO), PAGO YAPE: 948 227 636</t>
        </is>
      </c>
      <c r="X498" t="n">
        <v>50</v>
      </c>
      <c r="Y498">
        <f>T498+W498+X498</f>
        <v/>
      </c>
    </row>
    <row r="499" hidden="1" ht="15.75" customHeight="1" s="4">
      <c r="A499" s="3" t="n">
        <v>17393</v>
      </c>
      <c r="B499" s="3" t="inlineStr">
        <is>
          <t>11/04/2026 al 10/05/2026</t>
        </is>
      </c>
      <c r="C499" s="2" t="n">
        <v>46179</v>
      </c>
      <c r="D499" s="2" t="n">
        <v>46174</v>
      </c>
      <c r="E499" s="2" t="n">
        <v>46122</v>
      </c>
      <c r="F499" s="2" t="n">
        <v>46152</v>
      </c>
      <c r="G499" t="inlineStr">
        <is>
          <t>SONIA ARQUINO MELENDEZ</t>
        </is>
      </c>
      <c r="H499" t="inlineStr">
        <is>
          <t>V</t>
        </is>
      </c>
      <c r="I499" t="inlineStr">
        <is>
          <t>6</t>
        </is>
      </c>
      <c r="J499" t="n">
        <v>2073</v>
      </c>
      <c r="K499" t="n">
        <v>2084</v>
      </c>
      <c r="L499">
        <f>K499-J499</f>
        <v/>
      </c>
      <c r="M499" t="n">
        <v>11</v>
      </c>
      <c r="N499">
        <f>IF(L499&lt;&gt;M499,1,0)</f>
        <v/>
      </c>
      <c r="O499" t="n">
        <v>11</v>
      </c>
      <c r="S499" t="n">
        <v>3</v>
      </c>
      <c r="T499" s="3">
        <f>SUM(O499:S499)</f>
        <v/>
      </c>
      <c r="U499" s="3">
        <f>IF(P499&lt;8,"USTED ESTÁ AL DÍA","USTED NO ESTÁ AL DÍA")</f>
        <v/>
      </c>
      <c r="V499" s="3" t="inlineStr">
        <is>
          <t>PAGO PRESENCIAL:  05/06 de 4-6 pm (LOCAL DEL PUEBLO), PAGO YAPE: 948 227 636</t>
        </is>
      </c>
      <c r="W499" t="n">
        <v>30</v>
      </c>
      <c r="Y499">
        <f>T499+W499+X499</f>
        <v/>
      </c>
    </row>
    <row r="500" hidden="1" ht="15.75" customHeight="1" s="4">
      <c r="A500" s="3" t="n">
        <v>17394</v>
      </c>
      <c r="B500" s="3" t="inlineStr">
        <is>
          <t>11/04/2026 al 10/05/2026</t>
        </is>
      </c>
      <c r="C500" s="2" t="n">
        <v>46179</v>
      </c>
      <c r="D500" s="2" t="n">
        <v>46174</v>
      </c>
      <c r="E500" s="2" t="n">
        <v>46122</v>
      </c>
      <c r="F500" s="2" t="n">
        <v>46152</v>
      </c>
      <c r="G500" t="inlineStr">
        <is>
          <t>DAVID CASTILLO MORENO</t>
        </is>
      </c>
      <c r="H500" t="inlineStr">
        <is>
          <t>V</t>
        </is>
      </c>
      <c r="I500" t="inlineStr">
        <is>
          <t>7</t>
        </is>
      </c>
      <c r="J500" t="n">
        <v>1081</v>
      </c>
      <c r="K500" t="n">
        <v>1085</v>
      </c>
      <c r="L500">
        <f>K500-J500</f>
        <v/>
      </c>
      <c r="M500" t="n">
        <v>5</v>
      </c>
      <c r="O500" t="n">
        <v>5</v>
      </c>
      <c r="S500" t="n">
        <v>3</v>
      </c>
      <c r="T500" s="3">
        <f>SUM(O500:S500)</f>
        <v/>
      </c>
      <c r="U500" s="3">
        <f>IF(P500&lt;8,"USTED ESTÁ AL DÍA","USTED NO ESTÁ AL DÍA")</f>
        <v/>
      </c>
      <c r="V500" s="3" t="inlineStr">
        <is>
          <t>PAGO PRESENCIAL:  05/06 de 4-6 pm (LOCAL DEL PUEBLO), PAGO YAPE: 948 227 636</t>
        </is>
      </c>
      <c r="W500" t="n">
        <v>20</v>
      </c>
      <c r="Y500">
        <f>T500+W500+X500</f>
        <v/>
      </c>
    </row>
    <row r="501" hidden="1" ht="15.75" customHeight="1" s="4">
      <c r="A501" s="3" t="n">
        <v>17395</v>
      </c>
      <c r="B501" s="3" t="inlineStr">
        <is>
          <t>11/04/2026 al 10/05/2026</t>
        </is>
      </c>
      <c r="C501" s="2" t="n">
        <v>46179</v>
      </c>
      <c r="D501" s="2" t="n">
        <v>46174</v>
      </c>
      <c r="E501" s="2" t="n">
        <v>46122</v>
      </c>
      <c r="F501" s="2" t="n">
        <v>46152</v>
      </c>
      <c r="G501" t="inlineStr">
        <is>
          <t>CARMEN MELCHOR ALBORNOZ</t>
        </is>
      </c>
      <c r="H501" t="inlineStr">
        <is>
          <t>V</t>
        </is>
      </c>
      <c r="I501" t="inlineStr">
        <is>
          <t>8</t>
        </is>
      </c>
      <c r="J501" t="n">
        <v>555</v>
      </c>
      <c r="K501" t="n">
        <v>557</v>
      </c>
      <c r="L501">
        <f>K501-J501</f>
        <v/>
      </c>
      <c r="M501" t="n">
        <v>5</v>
      </c>
      <c r="O501" t="n">
        <v>5</v>
      </c>
      <c r="S501" t="n">
        <v>3</v>
      </c>
      <c r="T501" s="3">
        <f>SUM(O501:S501)</f>
        <v/>
      </c>
      <c r="U501" s="3">
        <f>IF(P501&lt;8,"USTED ESTÁ AL DÍA","USTED NO ESTÁ AL DÍA")</f>
        <v/>
      </c>
      <c r="V501" s="3" t="inlineStr">
        <is>
          <t>PAGO PRESENCIAL:  05/06 de 4-6 pm (LOCAL DEL PUEBLO), PAGO YAPE: 948 227 636</t>
        </is>
      </c>
      <c r="W501" t="n">
        <v>30</v>
      </c>
      <c r="X501" t="n">
        <v>75</v>
      </c>
      <c r="Y501">
        <f>T501+W501+X501</f>
        <v/>
      </c>
    </row>
    <row r="502" hidden="1" ht="15.75" customHeight="1" s="4">
      <c r="A502" s="3" t="n">
        <v>17396</v>
      </c>
      <c r="B502" s="3" t="inlineStr">
        <is>
          <t>11/04/2026 al 10/05/2026</t>
        </is>
      </c>
      <c r="C502" s="2" t="n">
        <v>46179</v>
      </c>
      <c r="D502" s="2" t="n">
        <v>46174</v>
      </c>
      <c r="E502" s="2" t="n">
        <v>46122</v>
      </c>
      <c r="F502" s="2" t="n">
        <v>46152</v>
      </c>
      <c r="G502" t="inlineStr">
        <is>
          <t>NORMA VEGA SALES</t>
        </is>
      </c>
      <c r="H502" t="inlineStr">
        <is>
          <t>V</t>
        </is>
      </c>
      <c r="I502" t="inlineStr">
        <is>
          <t>9</t>
        </is>
      </c>
      <c r="J502" t="n">
        <v>989</v>
      </c>
      <c r="K502" t="n">
        <v>997</v>
      </c>
      <c r="L502">
        <f>K502-J502</f>
        <v/>
      </c>
      <c r="M502" t="n">
        <v>8</v>
      </c>
      <c r="N502">
        <f>IF(L502&lt;&gt;M502,1,0)</f>
        <v/>
      </c>
      <c r="O502" t="n">
        <v>8</v>
      </c>
      <c r="S502" t="n">
        <v>3</v>
      </c>
      <c r="T502" s="3">
        <f>SUM(O502:S502)</f>
        <v/>
      </c>
      <c r="U502" s="3">
        <f>IF(P502&lt;8,"USTED ESTÁ AL DÍA","USTED NO ESTÁ AL DÍA")</f>
        <v/>
      </c>
      <c r="V502" s="3" t="inlineStr">
        <is>
          <t>PAGO PRESENCIAL:  05/06 de 4-6 pm (LOCAL DEL PUEBLO), PAGO YAPE: 948 227 636</t>
        </is>
      </c>
      <c r="W502" t="n">
        <v>50</v>
      </c>
      <c r="Y502">
        <f>T502+W502+X502</f>
        <v/>
      </c>
    </row>
    <row r="503" hidden="1" ht="15.75" customHeight="1" s="4">
      <c r="A503" s="3" t="n">
        <v>17397</v>
      </c>
      <c r="B503" s="3" t="inlineStr">
        <is>
          <t>11/04/2026 al 10/05/2026</t>
        </is>
      </c>
      <c r="C503" s="2" t="n">
        <v>46179</v>
      </c>
      <c r="D503" s="2" t="n">
        <v>46174</v>
      </c>
      <c r="E503" s="2" t="n">
        <v>46122</v>
      </c>
      <c r="F503" s="2" t="n">
        <v>46152</v>
      </c>
      <c r="G503" t="inlineStr">
        <is>
          <t>MARISOL BLAS BARRERA</t>
        </is>
      </c>
      <c r="H503" t="inlineStr">
        <is>
          <t>V</t>
        </is>
      </c>
      <c r="I503" t="inlineStr">
        <is>
          <t>11</t>
        </is>
      </c>
      <c r="J503" t="n">
        <v>1510</v>
      </c>
      <c r="K503" t="n">
        <v>1521</v>
      </c>
      <c r="L503">
        <f>K503-J503</f>
        <v/>
      </c>
      <c r="M503" t="n">
        <v>11</v>
      </c>
      <c r="N503">
        <f>IF(L503&lt;&gt;M503,1,0)</f>
        <v/>
      </c>
      <c r="O503" t="n">
        <v>11</v>
      </c>
      <c r="S503" t="n">
        <v>3</v>
      </c>
      <c r="T503" s="3">
        <f>SUM(O503:S503)</f>
        <v/>
      </c>
      <c r="U503" s="3">
        <f>IF(P503&lt;8,"USTED ESTÁ AL DÍA","USTED NO ESTÁ AL DÍA")</f>
        <v/>
      </c>
      <c r="V503" s="3" t="inlineStr">
        <is>
          <t>PAGO PRESENCIAL:  05/06 de 4-6 pm (LOCAL DEL PUEBLO), PAGO YAPE: 948 227 636</t>
        </is>
      </c>
      <c r="Y503">
        <f>T503+W503+X503</f>
        <v/>
      </c>
    </row>
    <row r="504" hidden="1" ht="15.75" customHeight="1" s="4">
      <c r="A504" s="3" t="n">
        <v>17398</v>
      </c>
      <c r="B504" s="3" t="inlineStr">
        <is>
          <t>11/04/2026 al 10/05/2026</t>
        </is>
      </c>
      <c r="C504" s="2" t="n">
        <v>46179</v>
      </c>
      <c r="D504" s="2" t="n">
        <v>46174</v>
      </c>
      <c r="E504" s="2" t="n">
        <v>46122</v>
      </c>
      <c r="F504" s="2" t="n">
        <v>46152</v>
      </c>
      <c r="G504" t="inlineStr">
        <is>
          <t>FRANCISCA CLARA HUAYTA FLORENTINO</t>
        </is>
      </c>
      <c r="H504" t="inlineStr">
        <is>
          <t>V</t>
        </is>
      </c>
      <c r="I504" t="inlineStr">
        <is>
          <t>12</t>
        </is>
      </c>
      <c r="J504" t="n">
        <v>2461</v>
      </c>
      <c r="K504" t="n">
        <v>2479</v>
      </c>
      <c r="L504">
        <f>K504-J504</f>
        <v/>
      </c>
      <c r="M504" t="n">
        <v>18</v>
      </c>
      <c r="N504">
        <f>IF(L504&lt;&gt;M504,1,0)</f>
        <v/>
      </c>
      <c r="O504" t="n">
        <v>18</v>
      </c>
      <c r="S504" t="n">
        <v>3</v>
      </c>
      <c r="T504" s="3">
        <f>SUM(O504:S504)</f>
        <v/>
      </c>
      <c r="U504" s="3">
        <f>IF(P504&lt;8,"USTED ESTÁ AL DÍA","USTED NO ESTÁ AL DÍA")</f>
        <v/>
      </c>
      <c r="V504" s="3" t="inlineStr">
        <is>
          <t>PAGO PRESENCIAL:  05/06 de 4-6 pm (LOCAL DEL PUEBLO), PAGO YAPE: 948 227 636</t>
        </is>
      </c>
      <c r="W504" t="n">
        <v>20</v>
      </c>
      <c r="Y504">
        <f>T504+W504+X504</f>
        <v/>
      </c>
    </row>
    <row r="505" hidden="1" ht="15.75" customHeight="1" s="4">
      <c r="A505" s="3" t="n">
        <v>17399</v>
      </c>
      <c r="B505" s="3" t="inlineStr">
        <is>
          <t>11/04/2026 al 10/05/2026</t>
        </is>
      </c>
      <c r="C505" s="2" t="n">
        <v>46179</v>
      </c>
      <c r="D505" s="2" t="n">
        <v>46174</v>
      </c>
      <c r="E505" s="2" t="n">
        <v>46122</v>
      </c>
      <c r="F505" s="2" t="n">
        <v>46152</v>
      </c>
      <c r="G505" t="inlineStr">
        <is>
          <t>CLEVER LOPEZ TRUJILLO</t>
        </is>
      </c>
      <c r="H505" t="inlineStr">
        <is>
          <t>V</t>
        </is>
      </c>
      <c r="I505" t="inlineStr">
        <is>
          <t>13</t>
        </is>
      </c>
      <c r="J505" t="n">
        <v>111</v>
      </c>
      <c r="K505" t="n">
        <v>121</v>
      </c>
      <c r="L505">
        <f>K505-J505</f>
        <v/>
      </c>
      <c r="M505" t="n">
        <v>10</v>
      </c>
      <c r="N505">
        <f>IF(L505&lt;&gt;M505,1,0)</f>
        <v/>
      </c>
      <c r="O505" t="n">
        <v>10</v>
      </c>
      <c r="S505" t="n">
        <v>3</v>
      </c>
      <c r="T505" s="3">
        <f>SUM(O505:S505)</f>
        <v/>
      </c>
      <c r="U505" s="3">
        <f>IF(P505&lt;8,"USTED ESTÁ AL DÍA","USTED NO ESTÁ AL DÍA")</f>
        <v/>
      </c>
      <c r="V505" s="3" t="inlineStr">
        <is>
          <t>PAGO PRESENCIAL:  05/06 de 4-6 pm (LOCAL DEL PUEBLO), PAGO YAPE: 948 227 636</t>
        </is>
      </c>
      <c r="Y505">
        <f>T505+W505+X505</f>
        <v/>
      </c>
    </row>
    <row r="506" hidden="1" ht="15.75" customHeight="1" s="4">
      <c r="A506" s="3" t="n">
        <v>17400</v>
      </c>
      <c r="B506" s="3" t="inlineStr">
        <is>
          <t>11/04/2026 al 10/05/2026</t>
        </is>
      </c>
      <c r="C506" s="2" t="n">
        <v>46179</v>
      </c>
      <c r="D506" s="2" t="n">
        <v>46174</v>
      </c>
      <c r="E506" s="2" t="n">
        <v>46122</v>
      </c>
      <c r="F506" s="2" t="n">
        <v>46152</v>
      </c>
      <c r="G506" t="inlineStr">
        <is>
          <t>JANET VASQUEZ MINAYA</t>
        </is>
      </c>
      <c r="H506" t="inlineStr">
        <is>
          <t>V</t>
        </is>
      </c>
      <c r="I506" t="inlineStr">
        <is>
          <t>15</t>
        </is>
      </c>
      <c r="J506" t="n">
        <v>994</v>
      </c>
      <c r="K506" t="n">
        <v>1001</v>
      </c>
      <c r="L506">
        <f>K506-J506</f>
        <v/>
      </c>
      <c r="M506" t="n">
        <v>7</v>
      </c>
      <c r="N506">
        <f>IF(L506&lt;&gt;M506,1,0)</f>
        <v/>
      </c>
      <c r="O506" t="n">
        <v>7</v>
      </c>
      <c r="S506" t="n">
        <v>3</v>
      </c>
      <c r="T506" s="3">
        <f>SUM(O506:S506)</f>
        <v/>
      </c>
      <c r="U506" s="3">
        <f>IF(P506&lt;8,"USTED ESTÁ AL DÍA","USTED NO ESTÁ AL DÍA")</f>
        <v/>
      </c>
      <c r="V506" s="3" t="inlineStr">
        <is>
          <t>PAGO PRESENCIAL:  05/06 de 4-6 pm (LOCAL DEL PUEBLO), PAGO YAPE: 948 227 636</t>
        </is>
      </c>
      <c r="X506" t="n">
        <v>50</v>
      </c>
      <c r="Y506">
        <f>T506+W506+X506</f>
        <v/>
      </c>
    </row>
    <row r="507" hidden="1" ht="15.75" customHeight="1" s="4">
      <c r="A507" s="3" t="n">
        <v>17401</v>
      </c>
      <c r="B507" s="3" t="inlineStr">
        <is>
          <t>11/04/2026 al 10/05/2026</t>
        </is>
      </c>
      <c r="C507" s="2" t="n">
        <v>46179</v>
      </c>
      <c r="D507" s="2" t="n">
        <v>46174</v>
      </c>
      <c r="E507" s="2" t="n">
        <v>46122</v>
      </c>
      <c r="F507" s="2" t="n">
        <v>46152</v>
      </c>
      <c r="G507" t="inlineStr">
        <is>
          <t>SONIA MASIAS CUSIHUAMAN</t>
        </is>
      </c>
      <c r="H507" t="inlineStr">
        <is>
          <t>V</t>
        </is>
      </c>
      <c r="I507" t="inlineStr">
        <is>
          <t>16</t>
        </is>
      </c>
      <c r="J507" t="n">
        <v>106</v>
      </c>
      <c r="K507" t="n">
        <v>113</v>
      </c>
      <c r="L507">
        <f>K507-J507</f>
        <v/>
      </c>
      <c r="M507" t="n">
        <v>7</v>
      </c>
      <c r="N507">
        <f>IF(L507&lt;&gt;M507,1,0)</f>
        <v/>
      </c>
      <c r="O507" t="n">
        <v>7</v>
      </c>
      <c r="S507" t="n">
        <v>3</v>
      </c>
      <c r="T507" s="3">
        <f>SUM(O507:S507)</f>
        <v/>
      </c>
      <c r="U507" s="3">
        <f>IF(P507&lt;8,"USTED ESTÁ AL DÍA","USTED NO ESTÁ AL DÍA")</f>
        <v/>
      </c>
      <c r="V507" s="3" t="inlineStr">
        <is>
          <t>PAGO PRESENCIAL:  05/06 de 4-6 pm (LOCAL DEL PUEBLO), PAGO YAPE: 948 227 636</t>
        </is>
      </c>
      <c r="Y507">
        <f>T507+W507+X507</f>
        <v/>
      </c>
    </row>
    <row r="508" hidden="1" ht="16" customHeight="1" s="4">
      <c r="A508" s="3" t="n">
        <v>17402</v>
      </c>
      <c r="B508" s="3" t="inlineStr">
        <is>
          <t>11/04/2026 al 10/05/2026</t>
        </is>
      </c>
      <c r="C508" s="2" t="n">
        <v>46179</v>
      </c>
      <c r="D508" s="2" t="n">
        <v>46174</v>
      </c>
      <c r="E508" s="2" t="n">
        <v>46122</v>
      </c>
      <c r="F508" s="2" t="n">
        <v>46152</v>
      </c>
      <c r="G508" t="inlineStr">
        <is>
          <t>NELLY MORENO LICITO</t>
        </is>
      </c>
      <c r="H508" t="inlineStr">
        <is>
          <t>W</t>
        </is>
      </c>
      <c r="I508" t="inlineStr">
        <is>
          <t>1</t>
        </is>
      </c>
      <c r="J508" t="n">
        <v>29</v>
      </c>
      <c r="K508" t="n">
        <v>29</v>
      </c>
      <c r="L508">
        <f>K508-J508</f>
        <v/>
      </c>
      <c r="M508" t="n">
        <v>5</v>
      </c>
      <c r="O508" t="n">
        <v>5</v>
      </c>
      <c r="P508" t="n">
        <v>22</v>
      </c>
      <c r="S508" t="n">
        <v>3</v>
      </c>
      <c r="T508" s="3">
        <f>SUM(O508:S508)</f>
        <v/>
      </c>
      <c r="U508" s="3">
        <f>IF(P508&lt;8,"USTED ESTÁ AL DÍA","USTED NO ESTÁ AL DÍA")</f>
        <v/>
      </c>
      <c r="V508" s="3" t="inlineStr">
        <is>
          <t>PAGO PRESENCIAL:  05/06 de 4-6 pm (LOCAL DEL PUEBLO), PAGO YAPE: 948 227 636</t>
        </is>
      </c>
      <c r="W508" t="n">
        <v>50</v>
      </c>
      <c r="Y508">
        <f>T508+W508+X508</f>
        <v/>
      </c>
    </row>
    <row r="509" hidden="1" ht="15.75" customHeight="1" s="4">
      <c r="A509" s="3" t="n">
        <v>17403</v>
      </c>
      <c r="B509" s="3" t="inlineStr">
        <is>
          <t>11/04/2026 al 10/05/2026</t>
        </is>
      </c>
      <c r="C509" s="2" t="n">
        <v>46179</v>
      </c>
      <c r="D509" s="2" t="n">
        <v>46174</v>
      </c>
      <c r="E509" s="2" t="n">
        <v>46122</v>
      </c>
      <c r="F509" s="2" t="n">
        <v>46152</v>
      </c>
      <c r="G509" t="inlineStr">
        <is>
          <t>YESICA ESPINOZA FERNANDEZ</t>
        </is>
      </c>
      <c r="H509" t="inlineStr">
        <is>
          <t>W</t>
        </is>
      </c>
      <c r="I509" t="inlineStr">
        <is>
          <t>2</t>
        </is>
      </c>
      <c r="J509" t="n">
        <v>4</v>
      </c>
      <c r="K509" t="n">
        <v>5</v>
      </c>
      <c r="L509">
        <f>K509-J509</f>
        <v/>
      </c>
      <c r="M509" t="n">
        <v>5</v>
      </c>
      <c r="O509" t="n">
        <v>5</v>
      </c>
      <c r="R509" t="n">
        <v>0</v>
      </c>
      <c r="S509" t="n">
        <v>3</v>
      </c>
      <c r="T509" s="3">
        <f>SUM(O509:S509)</f>
        <v/>
      </c>
      <c r="U509" s="3">
        <f>IF(P509&lt;8,"USTED ESTÁ AL DÍA","USTED NO ESTÁ AL DÍA")</f>
        <v/>
      </c>
      <c r="V509" s="3" t="inlineStr">
        <is>
          <t>PAGO PRESENCIAL:  05/06 de 4-6 pm (LOCAL DEL PUEBLO), PAGO YAPE: 948 227 636</t>
        </is>
      </c>
      <c r="W509" t="n">
        <v>50</v>
      </c>
      <c r="Y509">
        <f>T509+W509+X509</f>
        <v/>
      </c>
    </row>
    <row r="510" hidden="1" ht="15.75" customHeight="1" s="4">
      <c r="A510" s="3" t="n">
        <v>17404</v>
      </c>
      <c r="B510" s="3" t="inlineStr">
        <is>
          <t>11/04/2026 al 10/05/2026</t>
        </is>
      </c>
      <c r="C510" s="2" t="n">
        <v>46179</v>
      </c>
      <c r="D510" s="2" t="n">
        <v>46174</v>
      </c>
      <c r="E510" s="2" t="n">
        <v>46122</v>
      </c>
      <c r="F510" s="2" t="n">
        <v>46152</v>
      </c>
      <c r="G510" t="inlineStr">
        <is>
          <t>JULIO CHAVARRIA GARCIA</t>
        </is>
      </c>
      <c r="H510" t="inlineStr">
        <is>
          <t>W</t>
        </is>
      </c>
      <c r="I510" t="inlineStr">
        <is>
          <t>3</t>
        </is>
      </c>
      <c r="J510" t="n">
        <v>18</v>
      </c>
      <c r="K510" t="n">
        <v>26</v>
      </c>
      <c r="L510">
        <f>K510-J510</f>
        <v/>
      </c>
      <c r="M510" t="n">
        <v>8</v>
      </c>
      <c r="N510">
        <f>IF(L510&lt;&gt;M510,1,0)</f>
        <v/>
      </c>
      <c r="O510" t="n">
        <v>8</v>
      </c>
      <c r="R510" t="n">
        <v>25</v>
      </c>
      <c r="S510" t="n">
        <v>3</v>
      </c>
      <c r="T510" s="3">
        <f>SUM(O510:S510)</f>
        <v/>
      </c>
      <c r="U510" s="3">
        <f>IF(P510&lt;8,"USTED ESTÁ AL DÍA","USTED NO ESTÁ AL DÍA")</f>
        <v/>
      </c>
      <c r="V510" s="3" t="inlineStr">
        <is>
          <t>PAGO PRESENCIAL:  05/06 de 4-6 pm (LOCAL DEL PUEBLO), PAGO YAPE: 948 227 636</t>
        </is>
      </c>
      <c r="Y510">
        <f>T510+W510+X510</f>
        <v/>
      </c>
    </row>
    <row r="511" hidden="1" ht="15.75" customHeight="1" s="4">
      <c r="A511" s="3" t="n">
        <v>17405</v>
      </c>
      <c r="B511" s="3" t="inlineStr">
        <is>
          <t>11/04/2026 al 10/05/2026</t>
        </is>
      </c>
      <c r="C511" s="2" t="n">
        <v>46179</v>
      </c>
      <c r="D511" s="2" t="n">
        <v>46174</v>
      </c>
      <c r="E511" s="2" t="n">
        <v>46122</v>
      </c>
      <c r="F511" s="2" t="n">
        <v>46152</v>
      </c>
      <c r="G511" t="inlineStr">
        <is>
          <t>VICKI MASIAS CUSIHUAMAN</t>
        </is>
      </c>
      <c r="H511" t="inlineStr">
        <is>
          <t>W</t>
        </is>
      </c>
      <c r="I511" t="inlineStr">
        <is>
          <t>4</t>
        </is>
      </c>
      <c r="J511" t="n">
        <v>47</v>
      </c>
      <c r="K511" t="n">
        <v>63</v>
      </c>
      <c r="L511">
        <f>K511-J511</f>
        <v/>
      </c>
      <c r="M511" t="n">
        <v>16</v>
      </c>
      <c r="N511">
        <f>IF(L511&lt;&gt;M511,1,0)</f>
        <v/>
      </c>
      <c r="O511" t="n">
        <v>16</v>
      </c>
      <c r="R511" t="n">
        <v>25</v>
      </c>
      <c r="S511" t="n">
        <v>3</v>
      </c>
      <c r="T511" s="3">
        <f>SUM(O511:S511)</f>
        <v/>
      </c>
      <c r="U511" s="3">
        <f>IF(P511&lt;8,"USTED ESTÁ AL DÍA","USTED NO ESTÁ AL DÍA")</f>
        <v/>
      </c>
      <c r="V511" s="3" t="inlineStr">
        <is>
          <t>PAGO PRESENCIAL:  05/06 de 4-6 pm (LOCAL DEL PUEBLO), PAGO YAPE: 948 227 636</t>
        </is>
      </c>
      <c r="Y511">
        <f>T511+W511+X511</f>
        <v/>
      </c>
    </row>
    <row r="512" hidden="1" ht="15.75" customHeight="1" s="4">
      <c r="A512" s="3" t="n">
        <v>17406</v>
      </c>
      <c r="B512" s="3" t="inlineStr">
        <is>
          <t>11/04/2026 al 10/05/2026</t>
        </is>
      </c>
      <c r="C512" s="2" t="n">
        <v>46179</v>
      </c>
      <c r="D512" s="2" t="n">
        <v>46174</v>
      </c>
      <c r="E512" s="2" t="n">
        <v>46122</v>
      </c>
      <c r="F512" s="2" t="n">
        <v>46152</v>
      </c>
      <c r="G512" t="inlineStr">
        <is>
          <t>RENATO ALBORNOS SIGUEÑAS</t>
        </is>
      </c>
      <c r="H512" t="inlineStr">
        <is>
          <t>W</t>
        </is>
      </c>
      <c r="I512" t="inlineStr">
        <is>
          <t>5</t>
        </is>
      </c>
      <c r="J512" t="n">
        <v>35</v>
      </c>
      <c r="K512" t="n">
        <v>49</v>
      </c>
      <c r="L512">
        <f>K512-J512</f>
        <v/>
      </c>
      <c r="M512" t="n">
        <v>14</v>
      </c>
      <c r="N512">
        <f>IF(L512&lt;&gt;M512,1,0)</f>
        <v/>
      </c>
      <c r="O512" t="n">
        <v>14</v>
      </c>
      <c r="R512" t="n">
        <v>3</v>
      </c>
      <c r="S512" t="n">
        <v>3</v>
      </c>
      <c r="T512" s="3">
        <f>SUM(O512:S512)</f>
        <v/>
      </c>
      <c r="U512" s="3">
        <f>IF(P512&lt;8,"USTED ESTÁ AL DÍA","USTED NO ESTÁ AL DÍA")</f>
        <v/>
      </c>
      <c r="V512" s="3" t="inlineStr">
        <is>
          <t>PAGO PRESENCIAL:  05/06 de 4-6 pm (LOCAL DEL PUEBLO), PAGO YAPE: 948 227 636</t>
        </is>
      </c>
      <c r="X512" t="n">
        <v>50</v>
      </c>
      <c r="Y512">
        <f>T512+W512+X512</f>
        <v/>
      </c>
    </row>
    <row r="513" hidden="1" ht="15.75" customHeight="1" s="4">
      <c r="A513" s="3" t="n">
        <v>17407</v>
      </c>
      <c r="B513" s="3" t="inlineStr">
        <is>
          <t>11/04/2026 al 10/05/2026</t>
        </is>
      </c>
      <c r="C513" s="2" t="n">
        <v>46179</v>
      </c>
      <c r="D513" s="2" t="n">
        <v>46174</v>
      </c>
      <c r="E513" s="2" t="n">
        <v>46122</v>
      </c>
      <c r="F513" s="2" t="n">
        <v>46152</v>
      </c>
      <c r="G513" t="inlineStr">
        <is>
          <t>LUZ MERCEDES VARGAS CAURINO</t>
        </is>
      </c>
      <c r="H513" t="inlineStr">
        <is>
          <t>W</t>
        </is>
      </c>
      <c r="I513" t="inlineStr">
        <is>
          <t>6</t>
        </is>
      </c>
      <c r="J513" t="n">
        <v>10</v>
      </c>
      <c r="K513" t="n">
        <v>14</v>
      </c>
      <c r="L513">
        <f>K513-J513</f>
        <v/>
      </c>
      <c r="M513" t="n">
        <v>5</v>
      </c>
      <c r="O513" t="n">
        <v>5</v>
      </c>
      <c r="R513" t="n">
        <v>25</v>
      </c>
      <c r="S513" t="n">
        <v>3</v>
      </c>
      <c r="T513" s="3">
        <f>SUM(O513:S513)</f>
        <v/>
      </c>
      <c r="U513" s="3">
        <f>IF(P513&lt;8,"USTED ESTÁ AL DÍA","USTED NO ESTÁ AL DÍA")</f>
        <v/>
      </c>
      <c r="V513" s="3" t="inlineStr">
        <is>
          <t>PAGO PRESENCIAL:  05/06 de 4-6 pm (LOCAL DEL PUEBLO), PAGO YAPE: 948 227 636</t>
        </is>
      </c>
      <c r="Y513">
        <f>T513+W513+X513</f>
        <v/>
      </c>
    </row>
    <row r="514" hidden="1" ht="15.75" customHeight="1" s="4">
      <c r="A514" s="3" t="n">
        <v>17408</v>
      </c>
      <c r="B514" s="3" t="inlineStr">
        <is>
          <t>11/04/2026 al 10/05/2026</t>
        </is>
      </c>
      <c r="C514" s="2" t="n">
        <v>46179</v>
      </c>
      <c r="D514" s="2" t="n">
        <v>46174</v>
      </c>
      <c r="E514" s="2" t="n">
        <v>46122</v>
      </c>
      <c r="F514" s="2" t="n">
        <v>46152</v>
      </c>
      <c r="G514" t="inlineStr">
        <is>
          <t>YASMINA JAIMES TRUJILLO</t>
        </is>
      </c>
      <c r="H514" t="inlineStr">
        <is>
          <t>W</t>
        </is>
      </c>
      <c r="I514" t="inlineStr">
        <is>
          <t>7</t>
        </is>
      </c>
      <c r="J514" t="n">
        <v>358</v>
      </c>
      <c r="K514" t="n">
        <v>362</v>
      </c>
      <c r="L514">
        <f>K514-J514</f>
        <v/>
      </c>
      <c r="M514" t="n">
        <v>5</v>
      </c>
      <c r="O514" t="n">
        <v>5</v>
      </c>
      <c r="S514" t="n">
        <v>3</v>
      </c>
      <c r="T514" s="3">
        <f>SUM(O514:S514)</f>
        <v/>
      </c>
      <c r="U514" s="3">
        <f>IF(P514&lt;8,"USTED ESTÁ AL DÍA","USTED NO ESTÁ AL DÍA")</f>
        <v/>
      </c>
      <c r="V514" s="3" t="inlineStr">
        <is>
          <t>PAGO PRESENCIAL:  05/06 de 4-6 pm (LOCAL DEL PUEBLO), PAGO YAPE: 948 227 636</t>
        </is>
      </c>
      <c r="W514" t="n">
        <v>50</v>
      </c>
      <c r="X514" t="n">
        <v>50</v>
      </c>
      <c r="Y514">
        <f>T514+W514+X514</f>
        <v/>
      </c>
    </row>
    <row r="515" hidden="1" ht="15.75" customHeight="1" s="4">
      <c r="A515" s="3" t="n">
        <v>17409</v>
      </c>
      <c r="B515" s="3" t="inlineStr">
        <is>
          <t>11/04/2026 al 10/05/2026</t>
        </is>
      </c>
      <c r="C515" s="2" t="n">
        <v>46179</v>
      </c>
      <c r="D515" s="2" t="n">
        <v>46174</v>
      </c>
      <c r="E515" s="2" t="n">
        <v>46122</v>
      </c>
      <c r="F515" s="2" t="n">
        <v>46152</v>
      </c>
      <c r="G515" t="inlineStr">
        <is>
          <t>AREA VERDE DEL PUEBLO</t>
        </is>
      </c>
      <c r="H515" t="inlineStr">
        <is>
          <t>W</t>
        </is>
      </c>
      <c r="I515" t="inlineStr">
        <is>
          <t>9</t>
        </is>
      </c>
      <c r="J515" t="n">
        <v>0</v>
      </c>
      <c r="K515" t="n">
        <v>0</v>
      </c>
      <c r="L515">
        <f>K515-J515</f>
        <v/>
      </c>
      <c r="M515" t="n">
        <v>5</v>
      </c>
      <c r="O515" t="n">
        <v>5</v>
      </c>
      <c r="S515" t="n">
        <v>3</v>
      </c>
      <c r="T515" s="3">
        <f>SUM(O515:S515)</f>
        <v/>
      </c>
      <c r="U515" s="3">
        <f>IF(P515&lt;8,"USTED ESTÁ AL DÍA","USTED NO ESTÁ AL DÍA")</f>
        <v/>
      </c>
      <c r="V515" s="3" t="inlineStr">
        <is>
          <t>PAGO PRESENCIAL:  05/06 de 4-6 pm (LOCAL DEL PUEBLO), PAGO YAPE: 948 227 636</t>
        </is>
      </c>
      <c r="Y515">
        <f>T515+W515+X515</f>
        <v/>
      </c>
    </row>
    <row r="516" hidden="1" ht="15.75" customHeight="1" s="4">
      <c r="A516" s="3" t="n">
        <v>17410</v>
      </c>
      <c r="B516" s="3" t="inlineStr">
        <is>
          <t>11/04/2026 al 10/05/2026</t>
        </is>
      </c>
      <c r="C516" s="2" t="n">
        <v>46179</v>
      </c>
      <c r="D516" s="2" t="n">
        <v>46174</v>
      </c>
      <c r="E516" s="2" t="n">
        <v>46122</v>
      </c>
      <c r="F516" s="2" t="n">
        <v>46152</v>
      </c>
      <c r="G516" t="inlineStr">
        <is>
          <t>JOSE LUIS VARGAS CAURINO</t>
        </is>
      </c>
      <c r="H516" t="inlineStr">
        <is>
          <t>W</t>
        </is>
      </c>
      <c r="I516" t="inlineStr">
        <is>
          <t>13</t>
        </is>
      </c>
      <c r="J516" t="n">
        <v>670</v>
      </c>
      <c r="K516" t="n">
        <v>676</v>
      </c>
      <c r="L516">
        <f>K516-J516</f>
        <v/>
      </c>
      <c r="M516" t="n">
        <v>6</v>
      </c>
      <c r="N516">
        <f>IF(L516&lt;&gt;M516,1,0)</f>
        <v/>
      </c>
      <c r="O516" t="n">
        <v>6</v>
      </c>
      <c r="S516" t="n">
        <v>3</v>
      </c>
      <c r="T516" s="3">
        <f>SUM(O516:S516)</f>
        <v/>
      </c>
      <c r="U516" s="3">
        <f>IF(P516&lt;8,"USTED ESTÁ AL DÍA","USTED NO ESTÁ AL DÍA")</f>
        <v/>
      </c>
      <c r="V516" s="3" t="inlineStr">
        <is>
          <t>PAGO PRESENCIAL:  05/06 de 4-6 pm (LOCAL DEL PUEBLO), PAGO YAPE: 948 227 636</t>
        </is>
      </c>
      <c r="W516" t="n">
        <v>50</v>
      </c>
      <c r="X516" t="n">
        <v>75</v>
      </c>
      <c r="Y516">
        <f>T516+W516+X516</f>
        <v/>
      </c>
    </row>
    <row r="517" hidden="1" ht="15.75" customHeight="1" s="4">
      <c r="A517" s="3" t="n">
        <v>17411</v>
      </c>
      <c r="B517" s="3" t="inlineStr">
        <is>
          <t>11/04/2026 al 10/05/2026</t>
        </is>
      </c>
      <c r="C517" s="2" t="n">
        <v>46179</v>
      </c>
      <c r="D517" s="2" t="n">
        <v>46174</v>
      </c>
      <c r="E517" s="2" t="n">
        <v>46122</v>
      </c>
      <c r="F517" s="2" t="n">
        <v>46152</v>
      </c>
      <c r="G517" t="inlineStr">
        <is>
          <t>LOURDES SOCOLA ADANAQUE</t>
        </is>
      </c>
      <c r="H517" t="inlineStr">
        <is>
          <t>W</t>
        </is>
      </c>
      <c r="I517" t="inlineStr">
        <is>
          <t>14</t>
        </is>
      </c>
      <c r="J517" t="n">
        <v>41</v>
      </c>
      <c r="K517" t="n">
        <v>42</v>
      </c>
      <c r="L517">
        <f>K517-J517</f>
        <v/>
      </c>
      <c r="M517" t="n">
        <v>5</v>
      </c>
      <c r="O517" t="n">
        <v>5</v>
      </c>
      <c r="S517" t="n">
        <v>3</v>
      </c>
      <c r="T517" s="3">
        <f>SUM(O517:S517)</f>
        <v/>
      </c>
      <c r="U517" s="3">
        <f>IF(P517&lt;8,"USTED ESTÁ AL DÍA","USTED NO ESTÁ AL DÍA")</f>
        <v/>
      </c>
      <c r="V517" s="3" t="inlineStr">
        <is>
          <t>PAGO PRESENCIAL:  05/06 de 4-6 pm (LOCAL DEL PUEBLO), PAGO YAPE: 948 227 636</t>
        </is>
      </c>
      <c r="W517" t="n">
        <v>50</v>
      </c>
      <c r="X517" t="n">
        <v>50</v>
      </c>
      <c r="Y517">
        <f>T517+W517+X517</f>
        <v/>
      </c>
    </row>
    <row r="518" hidden="1" ht="15.75" customHeight="1" s="4">
      <c r="A518" s="3" t="n">
        <v>17412</v>
      </c>
      <c r="B518" s="3" t="inlineStr">
        <is>
          <t>11/04/2026 al 10/05/2026</t>
        </is>
      </c>
      <c r="C518" s="2" t="n">
        <v>46179</v>
      </c>
      <c r="D518" s="2" t="n">
        <v>46174</v>
      </c>
      <c r="E518" s="2" t="n">
        <v>46122</v>
      </c>
      <c r="F518" s="2" t="n">
        <v>46152</v>
      </c>
      <c r="G518" t="inlineStr">
        <is>
          <t>JULIAN PABLO ROCA VALENCIA</t>
        </is>
      </c>
      <c r="H518" t="inlineStr">
        <is>
          <t>W</t>
        </is>
      </c>
      <c r="I518" t="inlineStr">
        <is>
          <t>16</t>
        </is>
      </c>
      <c r="J518" t="n">
        <v>3671</v>
      </c>
      <c r="K518" t="n">
        <v>3690</v>
      </c>
      <c r="L518">
        <f>K518-J518</f>
        <v/>
      </c>
      <c r="M518" t="n">
        <v>19</v>
      </c>
      <c r="N518">
        <f>IF(L518&lt;&gt;M518,1,0)</f>
        <v/>
      </c>
      <c r="O518" t="n">
        <v>19</v>
      </c>
      <c r="S518" t="n">
        <v>3</v>
      </c>
      <c r="T518" s="3">
        <f>SUM(O518:S518)</f>
        <v/>
      </c>
      <c r="U518" s="3">
        <f>IF(P518&lt;8,"USTED ESTÁ AL DÍA","USTED NO ESTÁ AL DÍA")</f>
        <v/>
      </c>
      <c r="V518" s="3" t="inlineStr">
        <is>
          <t>PAGO PRESENCIAL:  05/06 de 4-6 pm (LOCAL DEL PUEBLO), PAGO YAPE: 948 227 636</t>
        </is>
      </c>
      <c r="X518" t="n">
        <v>50</v>
      </c>
      <c r="Y518">
        <f>T518+W518+X518</f>
        <v/>
      </c>
    </row>
    <row r="519" hidden="1" ht="15.75" customHeight="1" s="4">
      <c r="A519" s="3" t="n">
        <v>17413</v>
      </c>
      <c r="B519" s="3" t="inlineStr">
        <is>
          <t>11/04/2026 al 10/05/2026</t>
        </is>
      </c>
      <c r="C519" s="2" t="n">
        <v>46179</v>
      </c>
      <c r="D519" s="2" t="n">
        <v>46174</v>
      </c>
      <c r="E519" s="2" t="n">
        <v>46122</v>
      </c>
      <c r="F519" s="2" t="n">
        <v>46152</v>
      </c>
      <c r="G519" t="inlineStr">
        <is>
          <t>ORTENCIA FLAVIA CABRACANCHA CARRERA</t>
        </is>
      </c>
      <c r="H519" t="inlineStr">
        <is>
          <t>W</t>
        </is>
      </c>
      <c r="I519" t="inlineStr">
        <is>
          <t>17</t>
        </is>
      </c>
      <c r="J519" t="n">
        <v>2268</v>
      </c>
      <c r="K519" t="n">
        <v>2274</v>
      </c>
      <c r="L519">
        <f>K519-J519</f>
        <v/>
      </c>
      <c r="M519" t="n">
        <v>6</v>
      </c>
      <c r="N519">
        <f>IF(L519&lt;&gt;M519,1,0)</f>
        <v/>
      </c>
      <c r="O519" t="n">
        <v>6</v>
      </c>
      <c r="S519" t="n">
        <v>3</v>
      </c>
      <c r="T519" s="3">
        <f>SUM(O519:S519)</f>
        <v/>
      </c>
      <c r="U519" s="3">
        <f>IF(P519&lt;8,"USTED ESTÁ AL DÍA","USTED NO ESTÁ AL DÍA")</f>
        <v/>
      </c>
      <c r="V519" s="3" t="inlineStr">
        <is>
          <t>PAGO PRESENCIAL:  05/06 de 4-6 pm (LOCAL DEL PUEBLO), PAGO YAPE: 948 227 636</t>
        </is>
      </c>
      <c r="X519" t="n">
        <v>50</v>
      </c>
      <c r="Y519">
        <f>T519+W519+X519</f>
        <v/>
      </c>
    </row>
    <row r="520" hidden="1" ht="15.75" customHeight="1" s="4">
      <c r="A520" s="3" t="n">
        <v>17414</v>
      </c>
      <c r="B520" s="3" t="inlineStr">
        <is>
          <t>11/04/2026 al 10/05/2026</t>
        </is>
      </c>
      <c r="C520" s="2" t="n">
        <v>46179</v>
      </c>
      <c r="D520" s="2" t="n">
        <v>46174</v>
      </c>
      <c r="E520" s="2" t="n">
        <v>46122</v>
      </c>
      <c r="F520" s="2" t="n">
        <v>46152</v>
      </c>
      <c r="G520" t="inlineStr">
        <is>
          <t>CRISTINA PASTOR SALES DE MORALES</t>
        </is>
      </c>
      <c r="H520" t="inlineStr">
        <is>
          <t>W</t>
        </is>
      </c>
      <c r="I520" t="inlineStr">
        <is>
          <t>19</t>
        </is>
      </c>
      <c r="J520" t="n">
        <v>2318</v>
      </c>
      <c r="K520" t="n">
        <v>2354</v>
      </c>
      <c r="L520">
        <f>K520-J520</f>
        <v/>
      </c>
      <c r="M520" t="n">
        <v>36</v>
      </c>
      <c r="N520">
        <f>IF(L520&lt;&gt;M520,1,0)</f>
        <v/>
      </c>
      <c r="O520" t="n">
        <v>36</v>
      </c>
      <c r="S520" t="n">
        <v>3</v>
      </c>
      <c r="T520" s="3">
        <f>SUM(O520:S520)</f>
        <v/>
      </c>
      <c r="U520" s="3">
        <f>IF(P520&lt;8,"USTED ESTÁ AL DÍA","USTED NO ESTÁ AL DÍA")</f>
        <v/>
      </c>
      <c r="V520" s="3" t="inlineStr">
        <is>
          <t>PAGO PRESENCIAL:  05/06 de 4-6 pm (LOCAL DEL PUEBLO), PAGO YAPE: 948 227 636</t>
        </is>
      </c>
      <c r="X520" t="n">
        <v>50</v>
      </c>
      <c r="Y520">
        <f>T520+W520+X520</f>
        <v/>
      </c>
    </row>
    <row r="521" hidden="1" ht="15.75" customHeight="1" s="4">
      <c r="A521" s="3" t="n">
        <v>17415</v>
      </c>
      <c r="B521" s="3" t="inlineStr">
        <is>
          <t>11/04/2026 al 10/05/2026</t>
        </is>
      </c>
      <c r="C521" s="2" t="n">
        <v>46179</v>
      </c>
      <c r="D521" s="2" t="n">
        <v>46174</v>
      </c>
      <c r="E521" s="2" t="n">
        <v>46122</v>
      </c>
      <c r="F521" s="2" t="n">
        <v>46152</v>
      </c>
      <c r="G521" t="inlineStr">
        <is>
          <t>DEYSI PASTOR SALES</t>
        </is>
      </c>
      <c r="H521" t="inlineStr">
        <is>
          <t>W</t>
        </is>
      </c>
      <c r="I521" t="inlineStr">
        <is>
          <t>20</t>
        </is>
      </c>
      <c r="J521" t="n">
        <v>1177</v>
      </c>
      <c r="K521" t="n">
        <v>1188</v>
      </c>
      <c r="L521">
        <f>K521-J521</f>
        <v/>
      </c>
      <c r="M521" t="n">
        <v>11</v>
      </c>
      <c r="N521">
        <f>IF(L521&lt;&gt;M521,1,0)</f>
        <v/>
      </c>
      <c r="O521" t="n">
        <v>11</v>
      </c>
      <c r="S521" t="n">
        <v>3</v>
      </c>
      <c r="T521" s="3">
        <f>SUM(O521:S521)</f>
        <v/>
      </c>
      <c r="U521" s="3">
        <f>IF(P521&lt;8,"USTED ESTÁ AL DÍA","USTED NO ESTÁ AL DÍA")</f>
        <v/>
      </c>
      <c r="V521" s="3" t="inlineStr">
        <is>
          <t>PAGO PRESENCIAL:  05/06 de 4-6 pm (LOCAL DEL PUEBLO), PAGO YAPE: 948 227 636</t>
        </is>
      </c>
      <c r="X521" t="n">
        <v>50</v>
      </c>
      <c r="Y521">
        <f>T521+W521+X521</f>
        <v/>
      </c>
    </row>
    <row r="522" hidden="1" ht="15.75" customHeight="1" s="4">
      <c r="A522" s="3" t="n">
        <v>17416</v>
      </c>
      <c r="B522" s="3" t="inlineStr">
        <is>
          <t>11/04/2026 al 10/05/2026</t>
        </is>
      </c>
      <c r="C522" s="2" t="n">
        <v>46179</v>
      </c>
      <c r="D522" s="2" t="n">
        <v>46174</v>
      </c>
      <c r="E522" s="2" t="n">
        <v>46122</v>
      </c>
      <c r="F522" s="2" t="n">
        <v>46152</v>
      </c>
      <c r="G522" t="inlineStr">
        <is>
          <t>AREA VERDE DEL PUEBLO</t>
        </is>
      </c>
      <c r="H522" t="inlineStr">
        <is>
          <t>W</t>
        </is>
      </c>
      <c r="I522" t="inlineStr">
        <is>
          <t>8</t>
        </is>
      </c>
      <c r="L522">
        <f>K522-J522</f>
        <v/>
      </c>
      <c r="S522" t="n">
        <v>0</v>
      </c>
      <c r="T522" s="3">
        <f>SUM(O522:S522)</f>
        <v/>
      </c>
      <c r="U522" s="3">
        <f>IF(P522&lt;8,"USTED ESTÁ AL DÍA","USTED NO ESTÁ AL DÍA")</f>
        <v/>
      </c>
      <c r="V522" s="3" t="inlineStr">
        <is>
          <t>PAGO PRESENCIAL:  05/06 de 4-6 pm (LOCAL DEL PUEBLO), PAGO YAPE: 948 227 636</t>
        </is>
      </c>
      <c r="Y522">
        <f>T522+W522+X522</f>
        <v/>
      </c>
    </row>
    <row r="523" hidden="1" ht="15.75" customHeight="1" s="4">
      <c r="A523" s="3" t="n">
        <v>17417</v>
      </c>
      <c r="B523" s="3" t="inlineStr">
        <is>
          <t>11/04/2026 al 10/05/2026</t>
        </is>
      </c>
      <c r="C523" s="2" t="n">
        <v>46179</v>
      </c>
      <c r="D523" s="2" t="n">
        <v>46174</v>
      </c>
      <c r="E523" s="2" t="n">
        <v>46122</v>
      </c>
      <c r="F523" s="2" t="n">
        <v>46152</v>
      </c>
      <c r="G523" t="inlineStr">
        <is>
          <t>AREA VERDE DEL PUEBLO</t>
        </is>
      </c>
      <c r="H523" t="inlineStr">
        <is>
          <t>W</t>
        </is>
      </c>
      <c r="I523" t="inlineStr">
        <is>
          <t>11</t>
        </is>
      </c>
      <c r="L523">
        <f>K523-J523</f>
        <v/>
      </c>
      <c r="S523" t="n">
        <v>0</v>
      </c>
      <c r="T523" s="3">
        <f>SUM(O523:S523)</f>
        <v/>
      </c>
      <c r="U523" s="3">
        <f>IF(P523&lt;8,"USTED ESTÁ AL DÍA","USTED NO ESTÁ AL DÍA")</f>
        <v/>
      </c>
      <c r="V523" s="3" t="inlineStr">
        <is>
          <t>PAGO PRESENCIAL:  05/06 de 4-6 pm (LOCAL DEL PUEBLO), PAGO YAPE: 948 227 636</t>
        </is>
      </c>
      <c r="Y523">
        <f>T523+W523+X523</f>
        <v/>
      </c>
    </row>
    <row r="524" hidden="1" ht="15.75" customHeight="1" s="4">
      <c r="A524" s="3" t="n">
        <v>17418</v>
      </c>
      <c r="B524" s="3" t="inlineStr">
        <is>
          <t>11/04/2026 al 10/05/2026</t>
        </is>
      </c>
      <c r="C524" s="2" t="n">
        <v>46179</v>
      </c>
      <c r="D524" s="2" t="n">
        <v>46174</v>
      </c>
      <c r="E524" s="2" t="n">
        <v>46122</v>
      </c>
      <c r="F524" s="2" t="n">
        <v>46152</v>
      </c>
      <c r="G524" t="inlineStr">
        <is>
          <t>JENY JAIMES TRUJILLO</t>
        </is>
      </c>
      <c r="H524" t="inlineStr">
        <is>
          <t>W</t>
        </is>
      </c>
      <c r="I524" t="inlineStr">
        <is>
          <t>12</t>
        </is>
      </c>
      <c r="L524">
        <f>K524-J524</f>
        <v/>
      </c>
      <c r="S524" t="n">
        <v>0</v>
      </c>
      <c r="T524" s="3">
        <f>SUM(O524:S524)</f>
        <v/>
      </c>
      <c r="U524" s="3">
        <f>IF(P524&lt;8,"USTED ESTÁ AL DÍA","USTED NO ESTÁ AL DÍA")</f>
        <v/>
      </c>
      <c r="V524" s="3" t="inlineStr">
        <is>
          <t>PAGO PRESENCIAL:  05/06 de 4-6 pm (LOCAL DEL PUEBLO), PAGO YAPE: 948 227 636</t>
        </is>
      </c>
      <c r="W524" t="n">
        <v>50</v>
      </c>
      <c r="X524" t="n">
        <v>75</v>
      </c>
      <c r="Y524">
        <f>T524+W524+X524</f>
        <v/>
      </c>
    </row>
    <row r="525" hidden="1" ht="15.75" customHeight="1" s="4">
      <c r="A525" s="3" t="n">
        <v>17419</v>
      </c>
      <c r="B525" s="3" t="inlineStr">
        <is>
          <t>11/04/2026 al 10/05/2026</t>
        </is>
      </c>
      <c r="C525" s="2" t="n">
        <v>46179</v>
      </c>
      <c r="D525" s="2" t="n">
        <v>46174</v>
      </c>
      <c r="E525" s="2" t="n">
        <v>46122</v>
      </c>
      <c r="F525" s="2" t="n">
        <v>46152</v>
      </c>
      <c r="G525" t="inlineStr">
        <is>
          <t>RUDI JORDANO ROCA SEBASTIAN</t>
        </is>
      </c>
      <c r="H525" t="inlineStr">
        <is>
          <t>W</t>
        </is>
      </c>
      <c r="I525" t="inlineStr">
        <is>
          <t>15</t>
        </is>
      </c>
      <c r="L525">
        <f>K525-J525</f>
        <v/>
      </c>
      <c r="S525" t="n">
        <v>0</v>
      </c>
      <c r="T525" s="3">
        <f>SUM(O525:S525)</f>
        <v/>
      </c>
      <c r="U525" s="3">
        <f>IF(P525&lt;8,"USTED ESTÁ AL DÍA","USTED NO ESTÁ AL DÍA")</f>
        <v/>
      </c>
      <c r="V525" s="3" t="inlineStr">
        <is>
          <t>PAGO PRESENCIAL:  05/06 de 4-6 pm (LOCAL DEL PUEBLO), PAGO YAPE: 948 227 636</t>
        </is>
      </c>
      <c r="W525" t="n">
        <v>50</v>
      </c>
      <c r="Y525">
        <f>T525+W525+X525</f>
        <v/>
      </c>
    </row>
    <row r="526" hidden="1" ht="15.75" customHeight="1" s="4">
      <c r="A526" s="3" t="n">
        <v>17420</v>
      </c>
      <c r="B526" s="3" t="inlineStr">
        <is>
          <t>11/04/2026 al 10/05/2026</t>
        </is>
      </c>
      <c r="C526" s="2" t="n">
        <v>46179</v>
      </c>
      <c r="D526" s="2" t="n">
        <v>46174</v>
      </c>
      <c r="E526" s="2" t="n">
        <v>46122</v>
      </c>
      <c r="F526" s="2" t="n">
        <v>46152</v>
      </c>
      <c r="G526" t="inlineStr">
        <is>
          <t>MARIA PASTOR SALES DE CARRASCO</t>
        </is>
      </c>
      <c r="H526" t="inlineStr">
        <is>
          <t>W</t>
        </is>
      </c>
      <c r="I526" t="inlineStr">
        <is>
          <t>18</t>
        </is>
      </c>
      <c r="L526">
        <f>K526-J526</f>
        <v/>
      </c>
      <c r="S526" t="n">
        <v>0</v>
      </c>
      <c r="T526" s="3">
        <f>SUM(O526:S526)</f>
        <v/>
      </c>
      <c r="U526" s="3">
        <f>IF(P526&lt;8,"USTED ESTÁ AL DÍA","USTED NO ESTÁ AL DÍA")</f>
        <v/>
      </c>
      <c r="V526" s="3" t="inlineStr">
        <is>
          <t>PAGO PRESENCIAL:  05/06 de 4-6 pm (LOCAL DEL PUEBLO), PAGO YAPE: 948 227 636</t>
        </is>
      </c>
      <c r="W526" t="n">
        <v>50</v>
      </c>
      <c r="X526" t="n">
        <v>75</v>
      </c>
      <c r="Y526">
        <f>T526+W526+X526</f>
        <v/>
      </c>
    </row>
    <row r="527" hidden="1" ht="15.75" customHeight="1" s="4">
      <c r="A527" s="3" t="n">
        <v>17421</v>
      </c>
      <c r="B527" s="3" t="inlineStr">
        <is>
          <t>11/04/2026 al 10/05/2026</t>
        </is>
      </c>
      <c r="C527" s="2" t="n">
        <v>46179</v>
      </c>
      <c r="D527" s="2" t="n">
        <v>46174</v>
      </c>
      <c r="E527" s="2" t="n">
        <v>46122</v>
      </c>
      <c r="F527" s="2" t="n">
        <v>46152</v>
      </c>
      <c r="G527" t="inlineStr">
        <is>
          <t>CARLOS JARA GOMEZ</t>
        </is>
      </c>
      <c r="H527" t="inlineStr">
        <is>
          <t>X</t>
        </is>
      </c>
      <c r="I527" t="inlineStr">
        <is>
          <t>2</t>
        </is>
      </c>
      <c r="J527" t="n">
        <v>1715</v>
      </c>
      <c r="K527" t="n">
        <v>1734</v>
      </c>
      <c r="L527">
        <f>K527-J527</f>
        <v/>
      </c>
      <c r="M527" t="n">
        <v>19</v>
      </c>
      <c r="N527">
        <f>IF(L527&lt;&gt;M527,1,0)</f>
        <v/>
      </c>
      <c r="O527" t="n">
        <v>19</v>
      </c>
      <c r="P527" t="n">
        <v>21</v>
      </c>
      <c r="S527" t="n">
        <v>3</v>
      </c>
      <c r="T527" s="3">
        <f>SUM(O527:S527)</f>
        <v/>
      </c>
      <c r="U527" s="3">
        <f>IF(P527&lt;8,"USTED ESTÁ AL DÍA","USTED NO ESTÁ AL DÍA")</f>
        <v/>
      </c>
      <c r="V527" s="3" t="inlineStr">
        <is>
          <t>PAGO PRESENCIAL:  05/06 de 4-6 pm (LOCAL DEL PUEBLO), PAGO YAPE: 948 227 636</t>
        </is>
      </c>
      <c r="W527" t="n">
        <v>30</v>
      </c>
      <c r="X527" t="n">
        <v>50</v>
      </c>
      <c r="Y527">
        <f>T527+W527+X527</f>
        <v/>
      </c>
    </row>
    <row r="528" hidden="1" ht="15.75" customHeight="1" s="4">
      <c r="A528" s="3" t="n">
        <v>17422</v>
      </c>
      <c r="B528" s="3" t="inlineStr">
        <is>
          <t>11/04/2026 al 10/05/2026</t>
        </is>
      </c>
      <c r="C528" s="2" t="n">
        <v>46179</v>
      </c>
      <c r="D528" s="2" t="n">
        <v>46174</v>
      </c>
      <c r="E528" s="2" t="n">
        <v>46122</v>
      </c>
      <c r="F528" s="2" t="n">
        <v>46152</v>
      </c>
      <c r="G528" t="inlineStr">
        <is>
          <t>LUCINDA EMMA BLAS</t>
        </is>
      </c>
      <c r="H528" t="inlineStr">
        <is>
          <t>X</t>
        </is>
      </c>
      <c r="I528" t="inlineStr">
        <is>
          <t>4</t>
        </is>
      </c>
      <c r="J528" t="n">
        <v>3289</v>
      </c>
      <c r="K528" t="n">
        <v>3303</v>
      </c>
      <c r="L528">
        <f>K528-J528</f>
        <v/>
      </c>
      <c r="M528" t="n">
        <v>14</v>
      </c>
      <c r="N528">
        <f>IF(L528&lt;&gt;M528,1,0)</f>
        <v/>
      </c>
      <c r="O528" t="n">
        <v>14</v>
      </c>
      <c r="P528" t="n">
        <v>19</v>
      </c>
      <c r="S528" t="n">
        <v>3</v>
      </c>
      <c r="T528" s="3">
        <f>SUM(O528:S528)</f>
        <v/>
      </c>
      <c r="U528" s="3">
        <f>IF(P528&lt;8,"USTED ESTÁ AL DÍA","USTED NO ESTÁ AL DÍA")</f>
        <v/>
      </c>
      <c r="V528" s="3" t="inlineStr">
        <is>
          <t>PAGO PRESENCIAL:  05/06 de 4-6 pm (LOCAL DEL PUEBLO), PAGO YAPE: 948 227 636</t>
        </is>
      </c>
      <c r="W528" t="n">
        <v>30</v>
      </c>
      <c r="X528" t="n">
        <v>50</v>
      </c>
      <c r="Y528">
        <f>T528+W528+X528</f>
        <v/>
      </c>
    </row>
    <row r="529" hidden="1" ht="15.75" customHeight="1" s="4">
      <c r="A529" s="3" t="n">
        <v>17423</v>
      </c>
      <c r="B529" s="3" t="inlineStr">
        <is>
          <t>11/04/2026 al 10/05/2026</t>
        </is>
      </c>
      <c r="C529" s="2" t="n">
        <v>46179</v>
      </c>
      <c r="D529" s="2" t="n">
        <v>46174</v>
      </c>
      <c r="E529" s="2" t="n">
        <v>46122</v>
      </c>
      <c r="F529" s="2" t="n">
        <v>46152</v>
      </c>
      <c r="G529" t="inlineStr">
        <is>
          <t>ADRIAN MARCIAL ANTONIO MURGA</t>
        </is>
      </c>
      <c r="H529" t="inlineStr">
        <is>
          <t>X</t>
        </is>
      </c>
      <c r="I529" t="inlineStr">
        <is>
          <t>6</t>
        </is>
      </c>
      <c r="J529" t="n">
        <v>2557</v>
      </c>
      <c r="K529" t="n">
        <v>2571</v>
      </c>
      <c r="L529">
        <f>K529-J529</f>
        <v/>
      </c>
      <c r="M529" t="n">
        <v>14</v>
      </c>
      <c r="N529">
        <f>IF(L529&lt;&gt;M529,1,0)</f>
        <v/>
      </c>
      <c r="O529" t="n">
        <v>14</v>
      </c>
      <c r="P529" t="n">
        <v>24</v>
      </c>
      <c r="S529" t="n">
        <v>3</v>
      </c>
      <c r="T529" s="3">
        <f>SUM(O529:S529)</f>
        <v/>
      </c>
      <c r="U529" s="3">
        <f>IF(P529&lt;8,"USTED ESTÁ AL DÍA","USTED NO ESTÁ AL DÍA")</f>
        <v/>
      </c>
      <c r="V529" s="3" t="inlineStr">
        <is>
          <t>PAGO PRESENCIAL:  05/06 de 4-6 pm (LOCAL DEL PUEBLO), PAGO YAPE: 948 227 636</t>
        </is>
      </c>
      <c r="X529" t="n">
        <v>50</v>
      </c>
      <c r="Y529">
        <f>T529+W529+X529</f>
        <v/>
      </c>
    </row>
    <row r="530" hidden="1" ht="15.75" customHeight="1" s="4">
      <c r="A530" s="3" t="n">
        <v>17424</v>
      </c>
      <c r="B530" s="3" t="inlineStr">
        <is>
          <t>11/04/2026 al 10/05/2026</t>
        </is>
      </c>
      <c r="C530" s="2" t="n">
        <v>46179</v>
      </c>
      <c r="D530" s="2" t="n">
        <v>46174</v>
      </c>
      <c r="E530" s="2" t="n">
        <v>46122</v>
      </c>
      <c r="F530" s="2" t="n">
        <v>46152</v>
      </c>
      <c r="G530" t="inlineStr">
        <is>
          <t>CARLOS CASHPA CORAQUILLO</t>
        </is>
      </c>
      <c r="H530" t="inlineStr">
        <is>
          <t>X</t>
        </is>
      </c>
      <c r="I530" t="inlineStr">
        <is>
          <t>12</t>
        </is>
      </c>
      <c r="J530" t="n">
        <v>1176</v>
      </c>
      <c r="K530" t="n">
        <v>1186</v>
      </c>
      <c r="L530">
        <f>K530-J530</f>
        <v/>
      </c>
      <c r="M530" t="n">
        <v>10</v>
      </c>
      <c r="N530">
        <f>IF(L530&lt;&gt;M530,1,0)</f>
        <v/>
      </c>
      <c r="O530" t="n">
        <v>10</v>
      </c>
      <c r="P530" t="n">
        <v>11</v>
      </c>
      <c r="S530" t="n">
        <v>3</v>
      </c>
      <c r="T530" s="3">
        <f>SUM(O530:S530)</f>
        <v/>
      </c>
      <c r="U530" s="3">
        <f>IF(P530&lt;8,"USTED ESTÁ AL DÍA","USTED NO ESTÁ AL DÍA")</f>
        <v/>
      </c>
      <c r="V530" s="3" t="inlineStr">
        <is>
          <t>PAGO PRESENCIAL:  05/06 de 4-6 pm (LOCAL DEL PUEBLO), PAGO YAPE: 948 227 636</t>
        </is>
      </c>
      <c r="Y530">
        <f>T530+W530+X530</f>
        <v/>
      </c>
    </row>
    <row r="531" hidden="1" ht="15.75" customHeight="1" s="4">
      <c r="A531" s="3" t="n">
        <v>17425</v>
      </c>
      <c r="B531" s="3" t="inlineStr">
        <is>
          <t>11/04/2026 al 10/05/2026</t>
        </is>
      </c>
      <c r="C531" s="2" t="n">
        <v>46179</v>
      </c>
      <c r="D531" s="2" t="n">
        <v>46174</v>
      </c>
      <c r="E531" s="2" t="n">
        <v>46122</v>
      </c>
      <c r="F531" s="2" t="n">
        <v>46152</v>
      </c>
      <c r="G531" t="inlineStr">
        <is>
          <t>OLINDA LOPEZ VERDE</t>
        </is>
      </c>
      <c r="H531" t="inlineStr">
        <is>
          <t>X</t>
        </is>
      </c>
      <c r="I531" t="inlineStr">
        <is>
          <t>31</t>
        </is>
      </c>
      <c r="J531" t="n">
        <v>47</v>
      </c>
      <c r="K531" t="n">
        <v>47</v>
      </c>
      <c r="L531">
        <f>K531-J531</f>
        <v/>
      </c>
      <c r="M531" t="n">
        <v>5</v>
      </c>
      <c r="O531" t="n">
        <v>5</v>
      </c>
      <c r="P531" t="n">
        <v>160</v>
      </c>
      <c r="Q531" t="n">
        <v>40</v>
      </c>
      <c r="S531" t="n">
        <v>3</v>
      </c>
      <c r="T531" s="3">
        <f>SUM(O531:S531)</f>
        <v/>
      </c>
      <c r="U531" s="3">
        <f>IF(P531&lt;8,"USTED ESTÁ AL DÍA","USTED NO ESTÁ AL DÍA")</f>
        <v/>
      </c>
      <c r="V531" s="3" t="inlineStr">
        <is>
          <t>PAGO PRESENCIAL:  05/06 de 4-6 pm (LOCAL DEL PUEBLO), PAGO YAPE: 948 227 636</t>
        </is>
      </c>
      <c r="W531" t="n">
        <v>100</v>
      </c>
      <c r="Y531">
        <f>T531+W531+X531</f>
        <v/>
      </c>
    </row>
    <row r="532" hidden="1" ht="15.75" customHeight="1" s="4">
      <c r="A532" s="3" t="n">
        <v>17426</v>
      </c>
      <c r="B532" s="3" t="inlineStr">
        <is>
          <t>11/04/2026 al 10/05/2026</t>
        </is>
      </c>
      <c r="C532" s="2" t="n">
        <v>46179</v>
      </c>
      <c r="D532" s="2" t="n">
        <v>46174</v>
      </c>
      <c r="E532" s="2" t="n">
        <v>46122</v>
      </c>
      <c r="F532" s="2" t="n">
        <v>46152</v>
      </c>
      <c r="G532" t="inlineStr">
        <is>
          <t>TITO OSORIO MELGAREJO</t>
        </is>
      </c>
      <c r="H532" t="inlineStr">
        <is>
          <t>X</t>
        </is>
      </c>
      <c r="I532" t="inlineStr">
        <is>
          <t>1</t>
        </is>
      </c>
      <c r="J532" t="n">
        <v>230</v>
      </c>
      <c r="K532" t="n">
        <v>240</v>
      </c>
      <c r="L532">
        <f>K532-J532</f>
        <v/>
      </c>
      <c r="M532" t="n">
        <v>10</v>
      </c>
      <c r="N532">
        <f>IF(L532&lt;&gt;M532,1,0)</f>
        <v/>
      </c>
      <c r="O532" t="n">
        <v>10</v>
      </c>
      <c r="S532" t="n">
        <v>3</v>
      </c>
      <c r="T532" s="3">
        <f>SUM(O532:S532)</f>
        <v/>
      </c>
      <c r="U532" s="3">
        <f>IF(P532&lt;8,"USTED ESTÁ AL DÍA","USTED NO ESTÁ AL DÍA")</f>
        <v/>
      </c>
      <c r="V532" s="3" t="inlineStr">
        <is>
          <t>PAGO PRESENCIAL:  05/06 de 4-6 pm (LOCAL DEL PUEBLO), PAGO YAPE: 948 227 636</t>
        </is>
      </c>
      <c r="Y532">
        <f>T532+W532+X532</f>
        <v/>
      </c>
    </row>
    <row r="533" hidden="1" ht="15.75" customHeight="1" s="4">
      <c r="A533" s="3" t="n">
        <v>17427</v>
      </c>
      <c r="B533" s="3" t="inlineStr">
        <is>
          <t>11/04/2026 al 10/05/2026</t>
        </is>
      </c>
      <c r="C533" s="2" t="n">
        <v>46179</v>
      </c>
      <c r="D533" s="2" t="n">
        <v>46174</v>
      </c>
      <c r="E533" s="2" t="n">
        <v>46122</v>
      </c>
      <c r="F533" s="2" t="n">
        <v>46152</v>
      </c>
      <c r="G533" t="inlineStr">
        <is>
          <t>BERTHA ELVA GASPAR PEÑA</t>
        </is>
      </c>
      <c r="H533" t="inlineStr">
        <is>
          <t>X</t>
        </is>
      </c>
      <c r="I533" t="inlineStr">
        <is>
          <t>3</t>
        </is>
      </c>
      <c r="J533" t="n">
        <v>752</v>
      </c>
      <c r="K533" t="n">
        <v>766</v>
      </c>
      <c r="L533">
        <f>K533-J533</f>
        <v/>
      </c>
      <c r="M533" t="n">
        <v>14</v>
      </c>
      <c r="N533">
        <f>IF(L533&lt;&gt;M533,1,0)</f>
        <v/>
      </c>
      <c r="O533" t="n">
        <v>14</v>
      </c>
      <c r="S533" t="n">
        <v>3</v>
      </c>
      <c r="T533" s="3">
        <f>SUM(O533:S533)</f>
        <v/>
      </c>
      <c r="U533" s="3">
        <f>IF(P533&lt;8,"USTED ESTÁ AL DÍA","USTED NO ESTÁ AL DÍA")</f>
        <v/>
      </c>
      <c r="V533" s="3" t="inlineStr">
        <is>
          <t>PAGO PRESENCIAL:  05/06 de 4-6 pm (LOCAL DEL PUEBLO), PAGO YAPE: 948 227 636</t>
        </is>
      </c>
      <c r="X533" t="n">
        <v>50</v>
      </c>
      <c r="Y533">
        <f>T533+W533+X533</f>
        <v/>
      </c>
    </row>
    <row r="534" hidden="1" ht="15.75" customHeight="1" s="4">
      <c r="A534" s="3" t="n">
        <v>17428</v>
      </c>
      <c r="B534" s="3" t="inlineStr">
        <is>
          <t>11/04/2026 al 10/05/2026</t>
        </is>
      </c>
      <c r="C534" s="2" t="n">
        <v>46179</v>
      </c>
      <c r="D534" s="2" t="n">
        <v>46174</v>
      </c>
      <c r="E534" s="2" t="n">
        <v>46122</v>
      </c>
      <c r="F534" s="2" t="n">
        <v>46152</v>
      </c>
      <c r="G534" t="inlineStr">
        <is>
          <t>ELVIRA MINAYA LOZANO</t>
        </is>
      </c>
      <c r="H534" t="inlineStr">
        <is>
          <t>X</t>
        </is>
      </c>
      <c r="I534" t="inlineStr">
        <is>
          <t>9</t>
        </is>
      </c>
      <c r="J534" t="n">
        <v>722</v>
      </c>
      <c r="K534" t="n">
        <v>736</v>
      </c>
      <c r="L534">
        <f>K534-J534</f>
        <v/>
      </c>
      <c r="M534" t="n">
        <v>14</v>
      </c>
      <c r="N534">
        <f>IF(L534&lt;&gt;M534,1,0)</f>
        <v/>
      </c>
      <c r="O534" t="n">
        <v>14</v>
      </c>
      <c r="S534" t="n">
        <v>3</v>
      </c>
      <c r="T534" s="3">
        <f>SUM(O534:S534)</f>
        <v/>
      </c>
      <c r="U534" s="3">
        <f>IF(P534&lt;8,"USTED ESTÁ AL DÍA","USTED NO ESTÁ AL DÍA")</f>
        <v/>
      </c>
      <c r="V534" s="3" t="inlineStr">
        <is>
          <t>PAGO PRESENCIAL:  05/06 de 4-6 pm (LOCAL DEL PUEBLO), PAGO YAPE: 948 227 636</t>
        </is>
      </c>
      <c r="W534" t="n">
        <v>0</v>
      </c>
      <c r="X534" t="n">
        <v>75</v>
      </c>
      <c r="Y534">
        <f>T534+W534+X534</f>
        <v/>
      </c>
    </row>
    <row r="535" hidden="1" ht="15.75" customHeight="1" s="4">
      <c r="A535" s="3" t="n">
        <v>17429</v>
      </c>
      <c r="B535" s="3" t="inlineStr">
        <is>
          <t>11/04/2026 al 10/05/2026</t>
        </is>
      </c>
      <c r="C535" s="2" t="n">
        <v>46179</v>
      </c>
      <c r="D535" s="2" t="n">
        <v>46174</v>
      </c>
      <c r="E535" s="2" t="n">
        <v>46122</v>
      </c>
      <c r="F535" s="2" t="n">
        <v>46152</v>
      </c>
      <c r="G535" t="inlineStr">
        <is>
          <t>ROSA ESPINOZA BERNABE DE HEREDIA</t>
        </is>
      </c>
      <c r="H535" t="inlineStr">
        <is>
          <t>X</t>
        </is>
      </c>
      <c r="I535" t="inlineStr">
        <is>
          <t>10</t>
        </is>
      </c>
      <c r="J535" t="n">
        <v>564</v>
      </c>
      <c r="K535" t="n">
        <v>590</v>
      </c>
      <c r="L535">
        <f>K535-J535</f>
        <v/>
      </c>
      <c r="M535" t="n">
        <v>26</v>
      </c>
      <c r="N535">
        <f>IF(L535&lt;&gt;M535,1,0)</f>
        <v/>
      </c>
      <c r="O535" t="n">
        <v>26</v>
      </c>
      <c r="S535" t="n">
        <v>3</v>
      </c>
      <c r="T535" s="3">
        <f>SUM(O535:S535)</f>
        <v/>
      </c>
      <c r="U535" s="3">
        <f>IF(P535&lt;8,"USTED ESTÁ AL DÍA","USTED NO ESTÁ AL DÍA")</f>
        <v/>
      </c>
      <c r="V535" s="3" t="inlineStr">
        <is>
          <t>PAGO PRESENCIAL:  05/06 de 4-6 pm (LOCAL DEL PUEBLO), PAGO YAPE: 948 227 636</t>
        </is>
      </c>
      <c r="Y535">
        <f>T535+W535+X535</f>
        <v/>
      </c>
    </row>
    <row r="536" hidden="1" ht="15.75" customHeight="1" s="4">
      <c r="A536" s="3" t="n">
        <v>17430</v>
      </c>
      <c r="B536" s="3" t="inlineStr">
        <is>
          <t>11/04/2026 al 10/05/2026</t>
        </is>
      </c>
      <c r="C536" s="2" t="n">
        <v>46179</v>
      </c>
      <c r="D536" s="2" t="n">
        <v>46174</v>
      </c>
      <c r="E536" s="2" t="n">
        <v>46122</v>
      </c>
      <c r="F536" s="2" t="n">
        <v>46152</v>
      </c>
      <c r="G536" t="inlineStr">
        <is>
          <t>MARIA JIMENEZ ROCA</t>
        </is>
      </c>
      <c r="H536" t="inlineStr">
        <is>
          <t>X</t>
        </is>
      </c>
      <c r="I536" t="inlineStr">
        <is>
          <t>11</t>
        </is>
      </c>
      <c r="J536" t="n">
        <v>113</v>
      </c>
      <c r="K536" t="n">
        <v>120</v>
      </c>
      <c r="L536">
        <f>K536-J536</f>
        <v/>
      </c>
      <c r="M536" t="n">
        <v>7</v>
      </c>
      <c r="N536">
        <f>IF(L536&lt;&gt;M536,1,0)</f>
        <v/>
      </c>
      <c r="O536" t="n">
        <v>8</v>
      </c>
      <c r="S536" t="n">
        <v>3</v>
      </c>
      <c r="T536" s="3">
        <f>SUM(O536:S536)</f>
        <v/>
      </c>
      <c r="U536" s="3">
        <f>IF(P536&lt;8,"USTED ESTÁ AL DÍA","USTED NO ESTÁ AL DÍA")</f>
        <v/>
      </c>
      <c r="V536" s="3" t="inlineStr">
        <is>
          <t>PAGO PRESENCIAL:  05/06 de 4-6 pm (LOCAL DEL PUEBLO), PAGO YAPE: 948 227 636</t>
        </is>
      </c>
      <c r="W536" t="n">
        <v>80</v>
      </c>
      <c r="Y536">
        <f>T536+W536+X536</f>
        <v/>
      </c>
    </row>
    <row r="537" hidden="1" ht="15.75" customHeight="1" s="4">
      <c r="A537" s="3" t="n">
        <v>17431</v>
      </c>
      <c r="B537" s="3" t="inlineStr">
        <is>
          <t>11/04/2026 al 10/05/2026</t>
        </is>
      </c>
      <c r="C537" s="2" t="n">
        <v>46179</v>
      </c>
      <c r="D537" s="2" t="n">
        <v>46174</v>
      </c>
      <c r="E537" s="2" t="n">
        <v>46122</v>
      </c>
      <c r="F537" s="2" t="n">
        <v>46152</v>
      </c>
      <c r="G537" t="inlineStr">
        <is>
          <t>CELSO VICTOR AGÜERO VALLADARES</t>
        </is>
      </c>
      <c r="H537" t="inlineStr">
        <is>
          <t>X</t>
        </is>
      </c>
      <c r="I537" t="inlineStr">
        <is>
          <t>13</t>
        </is>
      </c>
      <c r="J537" t="n">
        <v>999</v>
      </c>
      <c r="K537" t="n">
        <v>1012</v>
      </c>
      <c r="L537">
        <f>K537-J537</f>
        <v/>
      </c>
      <c r="M537" t="n">
        <v>13</v>
      </c>
      <c r="N537">
        <f>IF(L537&lt;&gt;M537,1,0)</f>
        <v/>
      </c>
      <c r="O537" t="n">
        <v>13</v>
      </c>
      <c r="S537" t="n">
        <v>3</v>
      </c>
      <c r="T537" s="3">
        <f>SUM(O537:S537)</f>
        <v/>
      </c>
      <c r="U537" s="3">
        <f>IF(P537&lt;8,"USTED ESTÁ AL DÍA","USTED NO ESTÁ AL DÍA")</f>
        <v/>
      </c>
      <c r="V537" s="3" t="inlineStr">
        <is>
          <t>PAGO PRESENCIAL:  05/06 de 4-6 pm (LOCAL DEL PUEBLO), PAGO YAPE: 948 227 636</t>
        </is>
      </c>
      <c r="Y537">
        <f>T537+W537+X537</f>
        <v/>
      </c>
    </row>
    <row r="538" hidden="1" ht="15.75" customHeight="1" s="4">
      <c r="A538" s="3" t="n">
        <v>17432</v>
      </c>
      <c r="B538" s="3" t="inlineStr">
        <is>
          <t>11/04/2026 al 10/05/2026</t>
        </is>
      </c>
      <c r="C538" s="2" t="n">
        <v>46179</v>
      </c>
      <c r="D538" s="2" t="n">
        <v>46174</v>
      </c>
      <c r="E538" s="2" t="n">
        <v>46122</v>
      </c>
      <c r="F538" s="2" t="n">
        <v>46152</v>
      </c>
      <c r="G538" t="inlineStr">
        <is>
          <t>MAGNA ABREGO ISIDRO</t>
        </is>
      </c>
      <c r="H538" t="inlineStr">
        <is>
          <t>X</t>
        </is>
      </c>
      <c r="I538" t="inlineStr">
        <is>
          <t>14</t>
        </is>
      </c>
      <c r="J538" t="n">
        <v>195</v>
      </c>
      <c r="K538" t="n">
        <v>204</v>
      </c>
      <c r="L538">
        <f>K538-J538</f>
        <v/>
      </c>
      <c r="M538" t="n">
        <v>9</v>
      </c>
      <c r="N538">
        <f>IF(L538&lt;&gt;M538,1,0)</f>
        <v/>
      </c>
      <c r="O538" t="n">
        <v>9</v>
      </c>
      <c r="S538" t="n">
        <v>3</v>
      </c>
      <c r="T538" s="3">
        <f>SUM(O538:S538)</f>
        <v/>
      </c>
      <c r="U538" s="3">
        <f>IF(P538&lt;8,"USTED ESTÁ AL DÍA","USTED NO ESTÁ AL DÍA")</f>
        <v/>
      </c>
      <c r="V538" s="3" t="inlineStr">
        <is>
          <t>PAGO PRESENCIAL:  05/06 de 4-6 pm (LOCAL DEL PUEBLO), PAGO YAPE: 948 227 636</t>
        </is>
      </c>
      <c r="W538" t="n">
        <v>50</v>
      </c>
      <c r="X538" t="n">
        <v>50</v>
      </c>
      <c r="Y538">
        <f>T538+W538+X538</f>
        <v/>
      </c>
    </row>
    <row r="539" hidden="1" ht="15.75" customHeight="1" s="4">
      <c r="A539" s="3" t="n">
        <v>17433</v>
      </c>
      <c r="B539" s="3" t="inlineStr">
        <is>
          <t>11/04/2026 al 10/05/2026</t>
        </is>
      </c>
      <c r="C539" s="2" t="n">
        <v>46179</v>
      </c>
      <c r="D539" s="2" t="n">
        <v>46174</v>
      </c>
      <c r="E539" s="2" t="n">
        <v>46122</v>
      </c>
      <c r="F539" s="2" t="n">
        <v>46152</v>
      </c>
      <c r="G539" t="inlineStr">
        <is>
          <t>FELIPE JESUS ORTIZ APONTE</t>
        </is>
      </c>
      <c r="H539" t="inlineStr">
        <is>
          <t>X</t>
        </is>
      </c>
      <c r="I539" t="inlineStr">
        <is>
          <t>17</t>
        </is>
      </c>
      <c r="J539" t="n">
        <v>1350</v>
      </c>
      <c r="K539" t="n">
        <v>1356</v>
      </c>
      <c r="L539">
        <f>K539-J539</f>
        <v/>
      </c>
      <c r="M539" t="n">
        <v>6</v>
      </c>
      <c r="N539">
        <f>IF(L539&lt;&gt;M539,1,0)</f>
        <v/>
      </c>
      <c r="O539" t="n">
        <v>6</v>
      </c>
      <c r="S539" t="n">
        <v>3</v>
      </c>
      <c r="T539" s="3">
        <f>SUM(O539:S539)</f>
        <v/>
      </c>
      <c r="U539" s="3">
        <f>IF(P539&lt;8,"USTED ESTÁ AL DÍA","USTED NO ESTÁ AL DÍA")</f>
        <v/>
      </c>
      <c r="V539" s="3" t="inlineStr">
        <is>
          <t>PAGO PRESENCIAL:  05/06 de 4-6 pm (LOCAL DEL PUEBLO), PAGO YAPE: 948 227 636</t>
        </is>
      </c>
      <c r="Y539">
        <f>T539+W539+X539</f>
        <v/>
      </c>
    </row>
    <row r="540" hidden="1" ht="15.75" customHeight="1" s="4">
      <c r="A540" s="3" t="n">
        <v>17434</v>
      </c>
      <c r="B540" s="3" t="inlineStr">
        <is>
          <t>11/04/2026 al 10/05/2026</t>
        </is>
      </c>
      <c r="C540" s="2" t="n">
        <v>46179</v>
      </c>
      <c r="D540" s="2" t="n">
        <v>46174</v>
      </c>
      <c r="E540" s="2" t="n">
        <v>46122</v>
      </c>
      <c r="F540" s="2" t="n">
        <v>46152</v>
      </c>
      <c r="G540" t="inlineStr">
        <is>
          <t>RUDDY BLAS MELENDEZ</t>
        </is>
      </c>
      <c r="H540" t="inlineStr">
        <is>
          <t>X</t>
        </is>
      </c>
      <c r="I540" t="inlineStr">
        <is>
          <t>21</t>
        </is>
      </c>
      <c r="J540" t="n">
        <v>82</v>
      </c>
      <c r="K540" t="n">
        <v>88</v>
      </c>
      <c r="L540">
        <f>K540-J540</f>
        <v/>
      </c>
      <c r="M540" t="n">
        <v>6</v>
      </c>
      <c r="N540">
        <f>IF(L540&lt;&gt;M540,1,0)</f>
        <v/>
      </c>
      <c r="O540" t="n">
        <v>6</v>
      </c>
      <c r="S540" t="n">
        <v>3</v>
      </c>
      <c r="T540" s="3">
        <f>SUM(O540:S540)</f>
        <v/>
      </c>
      <c r="U540" s="3">
        <f>IF(P540&lt;8,"USTED ESTÁ AL DÍA","USTED NO ESTÁ AL DÍA")</f>
        <v/>
      </c>
      <c r="V540" s="3" t="inlineStr">
        <is>
          <t>PAGO PRESENCIAL:  05/06 de 4-6 pm (LOCAL DEL PUEBLO), PAGO YAPE: 948 227 636</t>
        </is>
      </c>
      <c r="W540" t="n">
        <v>20</v>
      </c>
      <c r="Y540">
        <f>T540+W540+X540</f>
        <v/>
      </c>
    </row>
    <row r="541" hidden="1" ht="15.75" customHeight="1" s="4">
      <c r="A541" s="3" t="n">
        <v>17435</v>
      </c>
      <c r="B541" s="3" t="inlineStr">
        <is>
          <t>11/04/2026 al 10/05/2026</t>
        </is>
      </c>
      <c r="C541" s="2" t="n">
        <v>46179</v>
      </c>
      <c r="D541" s="2" t="n">
        <v>46174</v>
      </c>
      <c r="E541" s="2" t="n">
        <v>46122</v>
      </c>
      <c r="F541" s="2" t="n">
        <v>46152</v>
      </c>
      <c r="G541" t="inlineStr">
        <is>
          <t>LUZ OSORIO MELGAREJO</t>
        </is>
      </c>
      <c r="H541" t="inlineStr">
        <is>
          <t>X</t>
        </is>
      </c>
      <c r="I541" t="inlineStr">
        <is>
          <t>32</t>
        </is>
      </c>
      <c r="J541" t="n">
        <v>295</v>
      </c>
      <c r="K541" t="n">
        <v>298</v>
      </c>
      <c r="L541">
        <f>K541-J541</f>
        <v/>
      </c>
      <c r="M541" t="n">
        <v>5</v>
      </c>
      <c r="O541" t="n">
        <v>5</v>
      </c>
      <c r="S541" t="n">
        <v>3</v>
      </c>
      <c r="T541" s="3">
        <f>SUM(O541:S541)</f>
        <v/>
      </c>
      <c r="U541" s="3">
        <f>IF(P541&lt;8,"USTED ESTÁ AL DÍA","USTED NO ESTÁ AL DÍA")</f>
        <v/>
      </c>
      <c r="V541" s="3" t="inlineStr">
        <is>
          <t>PAGO PRESENCIAL:  05/06 de 4-6 pm (LOCAL DEL PUEBLO), PAGO YAPE: 948 227 636</t>
        </is>
      </c>
      <c r="Y541">
        <f>T541+W541+X541</f>
        <v/>
      </c>
    </row>
    <row r="542" hidden="1" ht="15.75" customHeight="1" s="4">
      <c r="A542" s="3" t="n">
        <v>17436</v>
      </c>
      <c r="B542" s="3" t="inlineStr">
        <is>
          <t>11/04/2026 al 10/05/2026</t>
        </is>
      </c>
      <c r="C542" s="2" t="n">
        <v>46179</v>
      </c>
      <c r="D542" s="2" t="n">
        <v>46174</v>
      </c>
      <c r="E542" s="2" t="n">
        <v>46122</v>
      </c>
      <c r="F542" s="2" t="n">
        <v>46152</v>
      </c>
      <c r="G542" t="inlineStr">
        <is>
          <t>NENA MELENDEZ JULCA</t>
        </is>
      </c>
      <c r="H542" t="inlineStr">
        <is>
          <t>X</t>
        </is>
      </c>
      <c r="I542" t="inlineStr">
        <is>
          <t>33</t>
        </is>
      </c>
      <c r="J542" t="n">
        <v>854</v>
      </c>
      <c r="K542" t="n">
        <v>864</v>
      </c>
      <c r="L542">
        <f>K542-J542</f>
        <v/>
      </c>
      <c r="M542" t="n">
        <v>10</v>
      </c>
      <c r="N542">
        <f>IF(L542&lt;&gt;M542,1,0)</f>
        <v/>
      </c>
      <c r="O542" t="n">
        <v>10</v>
      </c>
      <c r="S542" t="n">
        <v>3</v>
      </c>
      <c r="T542" s="3">
        <f>SUM(O542:S542)</f>
        <v/>
      </c>
      <c r="U542" s="3">
        <f>IF(P542&lt;8,"USTED ESTÁ AL DÍA","USTED NO ESTÁ AL DÍA")</f>
        <v/>
      </c>
      <c r="V542" s="3" t="inlineStr">
        <is>
          <t>PAGO PRESENCIAL:  05/06 de 4-6 pm (LOCAL DEL PUEBLO), PAGO YAPE: 948 227 636</t>
        </is>
      </c>
      <c r="W542" t="n">
        <v>0</v>
      </c>
      <c r="Y542">
        <f>T542+W542+X542</f>
        <v/>
      </c>
    </row>
    <row r="543" hidden="1" ht="15.75" customHeight="1" s="4">
      <c r="A543" s="3" t="n">
        <v>17437</v>
      </c>
      <c r="B543" s="3" t="inlineStr">
        <is>
          <t>11/04/2026 al 10/05/2026</t>
        </is>
      </c>
      <c r="C543" s="2" t="n">
        <v>46179</v>
      </c>
      <c r="D543" s="2" t="n">
        <v>46174</v>
      </c>
      <c r="E543" s="2" t="n">
        <v>46122</v>
      </c>
      <c r="F543" s="2" t="n">
        <v>46152</v>
      </c>
      <c r="G543" t="inlineStr">
        <is>
          <t>ALEJANDRO MORENO ROSALES</t>
        </is>
      </c>
      <c r="H543" t="inlineStr">
        <is>
          <t>X</t>
        </is>
      </c>
      <c r="I543" t="inlineStr">
        <is>
          <t>7</t>
        </is>
      </c>
      <c r="J543" t="n">
        <v>218</v>
      </c>
      <c r="K543" t="n">
        <v>220</v>
      </c>
      <c r="L543">
        <f>K543-J543</f>
        <v/>
      </c>
      <c r="M543" t="n">
        <v>5</v>
      </c>
      <c r="O543" t="n">
        <v>5</v>
      </c>
      <c r="S543" t="n">
        <v>3</v>
      </c>
      <c r="T543" s="3">
        <f>SUM(O543:S543)</f>
        <v/>
      </c>
      <c r="U543" s="3">
        <f>IF(P543&lt;8,"USTED ESTÁ AL DÍA","USTED NO ESTÁ AL DÍA")</f>
        <v/>
      </c>
      <c r="V543" s="3" t="inlineStr">
        <is>
          <t>PAGO PRESENCIAL:  05/06 de 4-6 pm (LOCAL DEL PUEBLO), PAGO YAPE: 948 227 636</t>
        </is>
      </c>
      <c r="W543" t="n">
        <v>20</v>
      </c>
      <c r="Y543">
        <f>T543+W543+X543</f>
        <v/>
      </c>
    </row>
    <row r="544" hidden="1" ht="15.75" customHeight="1" s="4">
      <c r="A544" s="3" t="n">
        <v>17438</v>
      </c>
      <c r="B544" s="3" t="inlineStr">
        <is>
          <t>11/04/2026 al 10/05/2026</t>
        </is>
      </c>
      <c r="C544" s="2" t="n">
        <v>46179</v>
      </c>
      <c r="D544" s="2" t="n">
        <v>46174</v>
      </c>
      <c r="E544" s="2" t="n">
        <v>46122</v>
      </c>
      <c r="F544" s="2" t="n">
        <v>46152</v>
      </c>
      <c r="G544" t="inlineStr">
        <is>
          <t>GABBY ALICIA HEREDIA ESPINOZA</t>
        </is>
      </c>
      <c r="H544" t="inlineStr">
        <is>
          <t>X</t>
        </is>
      </c>
      <c r="I544" t="inlineStr">
        <is>
          <t>5</t>
        </is>
      </c>
      <c r="L544">
        <f>K544-J544</f>
        <v/>
      </c>
      <c r="S544" t="n">
        <v>0</v>
      </c>
      <c r="T544" s="3">
        <f>SUM(O544:S544)</f>
        <v/>
      </c>
      <c r="U544" s="3">
        <f>IF(P544&lt;8,"USTED ESTÁ AL DÍA","USTED NO ESTÁ AL DÍA")</f>
        <v/>
      </c>
      <c r="V544" s="3" t="inlineStr">
        <is>
          <t>PAGO PRESENCIAL:  05/06 de 4-6 pm (LOCAL DEL PUEBLO), PAGO YAPE: 948 227 636</t>
        </is>
      </c>
      <c r="W544" t="n">
        <v>50</v>
      </c>
      <c r="X544" t="n">
        <v>75</v>
      </c>
      <c r="Y544">
        <f>T544+W544+X544</f>
        <v/>
      </c>
    </row>
    <row r="545" hidden="1" ht="15.75" customHeight="1" s="4">
      <c r="A545" s="3" t="n">
        <v>17439</v>
      </c>
      <c r="B545" s="3" t="inlineStr">
        <is>
          <t>11/04/2026 al 10/05/2026</t>
        </is>
      </c>
      <c r="C545" s="2" t="n">
        <v>46179</v>
      </c>
      <c r="D545" s="2" t="n">
        <v>46174</v>
      </c>
      <c r="E545" s="2" t="n">
        <v>46122</v>
      </c>
      <c r="F545" s="2" t="n">
        <v>46152</v>
      </c>
      <c r="G545" t="inlineStr">
        <is>
          <t>YOLANDA MERCEDES LOZANO MINAYA</t>
        </is>
      </c>
      <c r="H545" t="inlineStr">
        <is>
          <t>X</t>
        </is>
      </c>
      <c r="I545" t="inlineStr">
        <is>
          <t>8</t>
        </is>
      </c>
      <c r="L545">
        <f>K545-J545</f>
        <v/>
      </c>
      <c r="S545" t="n">
        <v>0</v>
      </c>
      <c r="T545" s="3">
        <f>SUM(O545:S545)</f>
        <v/>
      </c>
      <c r="U545" s="3">
        <f>IF(P545&lt;8,"USTED ESTÁ AL DÍA","USTED NO ESTÁ AL DÍA")</f>
        <v/>
      </c>
      <c r="V545" s="3" t="inlineStr">
        <is>
          <t>PAGO PRESENCIAL:  05/06 de 4-6 pm (LOCAL DEL PUEBLO), PAGO YAPE: 948 227 636</t>
        </is>
      </c>
      <c r="X545" t="n">
        <v>75</v>
      </c>
      <c r="Y545">
        <f>T545+W545+X545</f>
        <v/>
      </c>
    </row>
    <row r="546" hidden="1" ht="15.75" customHeight="1" s="4">
      <c r="A546" s="3" t="n">
        <v>17440</v>
      </c>
      <c r="B546" s="3" t="inlineStr">
        <is>
          <t>11/04/2026 al 10/05/2026</t>
        </is>
      </c>
      <c r="C546" s="2" t="n">
        <v>46179</v>
      </c>
      <c r="D546" s="2" t="n">
        <v>46174</v>
      </c>
      <c r="E546" s="2" t="n">
        <v>46122</v>
      </c>
      <c r="F546" s="2" t="n">
        <v>46152</v>
      </c>
      <c r="G546" t="inlineStr">
        <is>
          <t>AREA COMUNAL DEL PUEBLO</t>
        </is>
      </c>
      <c r="H546" t="inlineStr">
        <is>
          <t>X</t>
        </is>
      </c>
      <c r="I546" t="inlineStr">
        <is>
          <t>15</t>
        </is>
      </c>
      <c r="L546">
        <f>K546-J546</f>
        <v/>
      </c>
      <c r="S546" t="n">
        <v>0</v>
      </c>
      <c r="T546" s="3">
        <f>SUM(O546:S546)</f>
        <v/>
      </c>
      <c r="U546" s="3">
        <f>IF(P546&lt;8,"USTED ESTÁ AL DÍA","USTED NO ESTÁ AL DÍA")</f>
        <v/>
      </c>
      <c r="V546" s="3" t="inlineStr">
        <is>
          <t>PAGO PRESENCIAL:  05/06 de 4-6 pm (LOCAL DEL PUEBLO), PAGO YAPE: 948 227 636</t>
        </is>
      </c>
      <c r="Y546">
        <f>T546+W546+X546</f>
        <v/>
      </c>
    </row>
    <row r="547" hidden="1" ht="15.75" customHeight="1" s="4">
      <c r="A547" s="3" t="n">
        <v>17441</v>
      </c>
      <c r="B547" s="3" t="inlineStr">
        <is>
          <t>11/04/2026 al 10/05/2026</t>
        </is>
      </c>
      <c r="C547" s="2" t="n">
        <v>46179</v>
      </c>
      <c r="D547" s="2" t="n">
        <v>46174</v>
      </c>
      <c r="E547" s="2" t="n">
        <v>46122</v>
      </c>
      <c r="F547" s="2" t="n">
        <v>46152</v>
      </c>
      <c r="G547" t="inlineStr">
        <is>
          <t>IVAN FILOMENO CHAVEZ DAMAZO</t>
        </is>
      </c>
      <c r="H547" t="inlineStr">
        <is>
          <t>X</t>
        </is>
      </c>
      <c r="I547" t="inlineStr">
        <is>
          <t>16</t>
        </is>
      </c>
      <c r="L547">
        <f>K547-J547</f>
        <v/>
      </c>
      <c r="S547" t="n">
        <v>0</v>
      </c>
      <c r="T547" s="3">
        <f>SUM(O547:S547)</f>
        <v/>
      </c>
      <c r="U547" s="3">
        <f>IF(P547&lt;8,"USTED ESTÁ AL DÍA","USTED NO ESTÁ AL DÍA")</f>
        <v/>
      </c>
      <c r="V547" s="3" t="inlineStr">
        <is>
          <t>PAGO PRESENCIAL:  05/06 de 4-6 pm (LOCAL DEL PUEBLO), PAGO YAPE: 948 227 636</t>
        </is>
      </c>
      <c r="W547" t="n">
        <v>50</v>
      </c>
      <c r="Y547">
        <f>T547+W547+X547</f>
        <v/>
      </c>
    </row>
    <row r="548" hidden="1" ht="15.75" customHeight="1" s="4">
      <c r="A548" s="3" t="n">
        <v>17442</v>
      </c>
      <c r="B548" s="3" t="inlineStr">
        <is>
          <t>11/04/2026 al 10/05/2026</t>
        </is>
      </c>
      <c r="C548" s="2" t="n">
        <v>46179</v>
      </c>
      <c r="D548" s="2" t="n">
        <v>46174</v>
      </c>
      <c r="E548" s="2" t="n">
        <v>46122</v>
      </c>
      <c r="F548" s="2" t="n">
        <v>46152</v>
      </c>
      <c r="G548" t="inlineStr">
        <is>
          <t>CARLOS CIRILO ROMERO</t>
        </is>
      </c>
      <c r="H548" t="inlineStr">
        <is>
          <t>Y</t>
        </is>
      </c>
      <c r="I548" t="inlineStr">
        <is>
          <t>1</t>
        </is>
      </c>
      <c r="J548" t="n">
        <v>1655</v>
      </c>
      <c r="K548" t="n">
        <v>1664</v>
      </c>
      <c r="L548">
        <f>K548-J548</f>
        <v/>
      </c>
      <c r="M548" t="n">
        <v>9</v>
      </c>
      <c r="N548">
        <f>IF(L548&lt;&gt;M548,1,0)</f>
        <v/>
      </c>
      <c r="O548" t="n">
        <v>9</v>
      </c>
      <c r="S548" t="n">
        <v>3</v>
      </c>
      <c r="T548" s="3">
        <f>SUM(O548:S548)</f>
        <v/>
      </c>
      <c r="U548" s="3">
        <f>IF(P548&lt;8,"USTED ESTÁ AL DÍA","USTED NO ESTÁ AL DÍA")</f>
        <v/>
      </c>
      <c r="V548" s="3" t="inlineStr">
        <is>
          <t>PAGO PRESENCIAL:  05/06 de 4-6 pm (LOCAL DEL PUEBLO), PAGO YAPE: 948 227 636</t>
        </is>
      </c>
      <c r="Y548">
        <f>T548+W548+X548</f>
        <v/>
      </c>
    </row>
    <row r="549" hidden="1" ht="15.75" customHeight="1" s="4">
      <c r="A549" s="3" t="n">
        <v>17443</v>
      </c>
      <c r="B549" s="3" t="inlineStr">
        <is>
          <t>11/04/2026 al 10/05/2026</t>
        </is>
      </c>
      <c r="C549" s="2" t="n">
        <v>46179</v>
      </c>
      <c r="D549" s="2" t="n">
        <v>46174</v>
      </c>
      <c r="E549" s="2" t="n">
        <v>46122</v>
      </c>
      <c r="F549" s="2" t="n">
        <v>46152</v>
      </c>
      <c r="G549" t="inlineStr">
        <is>
          <t>AREA VERDE DEL PUEBLO</t>
        </is>
      </c>
      <c r="H549" t="inlineStr">
        <is>
          <t>Y</t>
        </is>
      </c>
      <c r="I549" t="inlineStr">
        <is>
          <t>2</t>
        </is>
      </c>
      <c r="J549" t="n">
        <v>32</v>
      </c>
      <c r="K549" t="n">
        <v>32</v>
      </c>
      <c r="L549">
        <f>K549-J549</f>
        <v/>
      </c>
      <c r="M549" t="n">
        <v>5</v>
      </c>
      <c r="O549" t="n">
        <v>5</v>
      </c>
      <c r="S549" t="n">
        <v>3</v>
      </c>
      <c r="T549" s="3">
        <f>SUM(O549:S549)</f>
        <v/>
      </c>
      <c r="U549" s="3">
        <f>IF(P549&lt;8,"USTED ESTÁ AL DÍA","USTED NO ESTÁ AL DÍA")</f>
        <v/>
      </c>
      <c r="V549" s="3" t="inlineStr">
        <is>
          <t>PAGO PRESENCIAL:  05/06 de 4-6 pm (LOCAL DEL PUEBLO), PAGO YAPE: 948 227 636</t>
        </is>
      </c>
      <c r="Y549">
        <f>T549+W549+X549</f>
        <v/>
      </c>
    </row>
    <row r="550" hidden="1" ht="15.75" customHeight="1" s="4">
      <c r="A550" s="3" t="n">
        <v>17444</v>
      </c>
      <c r="B550" s="3" t="inlineStr">
        <is>
          <t>11/04/2026 al 10/05/2026</t>
        </is>
      </c>
      <c r="C550" s="2" t="n">
        <v>46179</v>
      </c>
      <c r="D550" s="2" t="n">
        <v>46174</v>
      </c>
      <c r="E550" s="2" t="n">
        <v>46122</v>
      </c>
      <c r="F550" s="2" t="n">
        <v>46152</v>
      </c>
      <c r="G550" t="inlineStr">
        <is>
          <t>EDY SANCHEZ RODRIGUEZ</t>
        </is>
      </c>
      <c r="H550" t="inlineStr">
        <is>
          <t>Y</t>
        </is>
      </c>
      <c r="I550" t="inlineStr">
        <is>
          <t>3</t>
        </is>
      </c>
      <c r="J550" t="n">
        <v>75</v>
      </c>
      <c r="K550" t="n">
        <v>88</v>
      </c>
      <c r="L550">
        <f>K550-J550</f>
        <v/>
      </c>
      <c r="M550" t="n">
        <v>13</v>
      </c>
      <c r="N550">
        <f>IF(L550&lt;&gt;M550,1,0)</f>
        <v/>
      </c>
      <c r="O550" t="n">
        <v>13</v>
      </c>
      <c r="S550" t="n">
        <v>3</v>
      </c>
      <c r="T550" s="3">
        <f>SUM(O550:S550)</f>
        <v/>
      </c>
      <c r="U550" s="3">
        <f>IF(P550&lt;8,"USTED ESTÁ AL DÍA","USTED NO ESTÁ AL DÍA")</f>
        <v/>
      </c>
      <c r="V550" s="3" t="inlineStr">
        <is>
          <t>PAGO PRESENCIAL:  05/06 de 4-6 pm (LOCAL DEL PUEBLO), PAGO YAPE: 948 227 636</t>
        </is>
      </c>
      <c r="W550" t="n">
        <v>30</v>
      </c>
      <c r="X550" t="n">
        <v>50</v>
      </c>
      <c r="Y550">
        <f>T550+W550+X550</f>
        <v/>
      </c>
    </row>
    <row r="551" hidden="1" ht="15.75" customHeight="1" s="4">
      <c r="A551" s="3" t="n">
        <v>17445</v>
      </c>
      <c r="B551" s="3" t="inlineStr">
        <is>
          <t>11/04/2026 al 10/05/2026</t>
        </is>
      </c>
      <c r="C551" s="2" t="n">
        <v>46179</v>
      </c>
      <c r="D551" s="2" t="n">
        <v>46174</v>
      </c>
      <c r="E551" s="2" t="n">
        <v>46122</v>
      </c>
      <c r="F551" s="2" t="n">
        <v>46152</v>
      </c>
      <c r="G551" t="inlineStr">
        <is>
          <t>JUDITH MONTAÑEZ ROJAS</t>
        </is>
      </c>
      <c r="H551" t="inlineStr">
        <is>
          <t>Y</t>
        </is>
      </c>
      <c r="I551" t="inlineStr">
        <is>
          <t>5</t>
        </is>
      </c>
      <c r="J551" t="n">
        <v>264</v>
      </c>
      <c r="K551" t="n">
        <v>264</v>
      </c>
      <c r="L551">
        <f>K551-J551</f>
        <v/>
      </c>
      <c r="M551" t="n">
        <v>5</v>
      </c>
      <c r="O551" t="n">
        <v>5</v>
      </c>
      <c r="S551" t="n">
        <v>3</v>
      </c>
      <c r="T551" s="3">
        <f>SUM(O551:S551)</f>
        <v/>
      </c>
      <c r="U551" s="3">
        <f>IF(P551&lt;8,"USTED ESTÁ AL DÍA","USTED NO ESTÁ AL DÍA")</f>
        <v/>
      </c>
      <c r="V551" s="3" t="inlineStr">
        <is>
          <t>PAGO PRESENCIAL:  05/06 de 4-6 pm (LOCAL DEL PUEBLO), PAGO YAPE: 948 227 636</t>
        </is>
      </c>
      <c r="W551" t="n">
        <v>50</v>
      </c>
      <c r="X551" t="n">
        <v>50</v>
      </c>
      <c r="Y551">
        <f>T551+W551+X551</f>
        <v/>
      </c>
    </row>
    <row r="552" hidden="1" ht="15.75" customHeight="1" s="4">
      <c r="A552" s="3" t="n">
        <v>17446</v>
      </c>
      <c r="B552" s="3" t="inlineStr">
        <is>
          <t>11/04/2026 al 10/05/2026</t>
        </is>
      </c>
      <c r="C552" s="2" t="n">
        <v>46179</v>
      </c>
      <c r="D552" s="2" t="n">
        <v>46174</v>
      </c>
      <c r="E552" s="2" t="n">
        <v>46122</v>
      </c>
      <c r="F552" s="2" t="n">
        <v>46152</v>
      </c>
      <c r="G552" t="inlineStr">
        <is>
          <t>BELISARIO MORALES HERRERA</t>
        </is>
      </c>
      <c r="H552" t="inlineStr">
        <is>
          <t>Y</t>
        </is>
      </c>
      <c r="I552" t="inlineStr">
        <is>
          <t>6</t>
        </is>
      </c>
      <c r="J552" t="n">
        <v>1385</v>
      </c>
      <c r="K552" t="n">
        <v>1404</v>
      </c>
      <c r="L552">
        <f>K552-J552</f>
        <v/>
      </c>
      <c r="M552" t="n">
        <v>19</v>
      </c>
      <c r="N552">
        <f>IF(L552&lt;&gt;M552,1,0)</f>
        <v/>
      </c>
      <c r="O552" t="n">
        <v>19</v>
      </c>
      <c r="P552" t="n">
        <v>0</v>
      </c>
      <c r="S552" t="n">
        <v>3</v>
      </c>
      <c r="T552" s="3">
        <f>SUM(O552:S552)</f>
        <v/>
      </c>
      <c r="U552" s="3">
        <f>IF(P552&lt;8,"USTED ESTÁ AL DÍA","USTED NO ESTÁ AL DÍA")</f>
        <v/>
      </c>
      <c r="V552" s="3" t="inlineStr">
        <is>
          <t>PAGO PRESENCIAL:  05/06 de 4-6 pm (LOCAL DEL PUEBLO), PAGO YAPE: 948 227 636</t>
        </is>
      </c>
      <c r="W552" t="n">
        <v>30</v>
      </c>
      <c r="X552" t="n">
        <v>50</v>
      </c>
      <c r="Y552">
        <f>T552+W552+X552</f>
        <v/>
      </c>
    </row>
    <row r="553" hidden="1" ht="15.75" customHeight="1" s="4">
      <c r="A553" s="3" t="n">
        <v>17447</v>
      </c>
      <c r="B553" s="3" t="inlineStr">
        <is>
          <t>11/04/2026 al 10/05/2026</t>
        </is>
      </c>
      <c r="C553" s="2" t="n">
        <v>46179</v>
      </c>
      <c r="D553" s="2" t="n">
        <v>46174</v>
      </c>
      <c r="E553" s="2" t="n">
        <v>46122</v>
      </c>
      <c r="F553" s="2" t="n">
        <v>46152</v>
      </c>
      <c r="G553" t="inlineStr">
        <is>
          <t>HAYDEE CERNA NEYRA</t>
        </is>
      </c>
      <c r="H553" t="inlineStr">
        <is>
          <t>Y</t>
        </is>
      </c>
      <c r="I553" t="inlineStr">
        <is>
          <t>8</t>
        </is>
      </c>
      <c r="J553" t="n">
        <v>1191</v>
      </c>
      <c r="K553" t="n">
        <v>1203</v>
      </c>
      <c r="L553">
        <f>K553-J553</f>
        <v/>
      </c>
      <c r="M553" t="n">
        <v>12</v>
      </c>
      <c r="N553">
        <f>IF(L553&lt;&gt;M553,1,0)</f>
        <v/>
      </c>
      <c r="O553" t="n">
        <v>12</v>
      </c>
      <c r="S553" t="n">
        <v>3</v>
      </c>
      <c r="T553" s="3">
        <f>SUM(O553:S553)</f>
        <v/>
      </c>
      <c r="U553" s="3">
        <f>IF(P553&lt;8,"USTED ESTÁ AL DÍA","USTED NO ESTÁ AL DÍA")</f>
        <v/>
      </c>
      <c r="V553" s="3" t="inlineStr">
        <is>
          <t>PAGO PRESENCIAL:  05/06 de 4-6 pm (LOCAL DEL PUEBLO), PAGO YAPE: 948 227 636</t>
        </is>
      </c>
      <c r="X553" t="n">
        <v>50</v>
      </c>
      <c r="Y553">
        <f>T553+W553+X553</f>
        <v/>
      </c>
    </row>
    <row r="554" hidden="1" ht="15.75" customHeight="1" s="4">
      <c r="A554" s="3" t="n">
        <v>17448</v>
      </c>
      <c r="B554" s="3" t="inlineStr">
        <is>
          <t>11/04/2026 al 10/05/2026</t>
        </is>
      </c>
      <c r="C554" s="2" t="n">
        <v>46179</v>
      </c>
      <c r="D554" s="2" t="n">
        <v>46174</v>
      </c>
      <c r="E554" s="2" t="n">
        <v>46122</v>
      </c>
      <c r="F554" s="2" t="n">
        <v>46152</v>
      </c>
      <c r="G554" t="inlineStr">
        <is>
          <t>FELIX LUNA LOPEZ</t>
        </is>
      </c>
      <c r="H554" t="inlineStr">
        <is>
          <t>Y</t>
        </is>
      </c>
      <c r="I554" t="inlineStr">
        <is>
          <t>9</t>
        </is>
      </c>
      <c r="J554" t="n">
        <v>1006</v>
      </c>
      <c r="K554" t="n">
        <v>1014</v>
      </c>
      <c r="L554">
        <f>K554-J554</f>
        <v/>
      </c>
      <c r="M554" t="n">
        <v>8</v>
      </c>
      <c r="N554">
        <f>IF(L554&lt;&gt;M554,1,0)</f>
        <v/>
      </c>
      <c r="O554" t="n">
        <v>8</v>
      </c>
      <c r="S554" t="n">
        <v>3</v>
      </c>
      <c r="T554" s="3">
        <f>SUM(O554:S554)</f>
        <v/>
      </c>
      <c r="U554" s="3">
        <f>IF(P554&lt;8,"USTED ESTÁ AL DÍA","USTED NO ESTÁ AL DÍA")</f>
        <v/>
      </c>
      <c r="V554" s="3" t="inlineStr">
        <is>
          <t>PAGO PRESENCIAL:  05/06 de 4-6 pm (LOCAL DEL PUEBLO), PAGO YAPE: 948 227 636</t>
        </is>
      </c>
      <c r="Y554">
        <f>T554+W554+X554</f>
        <v/>
      </c>
    </row>
    <row r="555" hidden="1" ht="15.75" customHeight="1" s="4">
      <c r="A555" s="3" t="n">
        <v>17449</v>
      </c>
      <c r="B555" s="3" t="inlineStr">
        <is>
          <t>11/04/2026 al 10/05/2026</t>
        </is>
      </c>
      <c r="C555" s="2" t="n">
        <v>46179</v>
      </c>
      <c r="D555" s="2" t="n">
        <v>46174</v>
      </c>
      <c r="E555" s="2" t="n">
        <v>46122</v>
      </c>
      <c r="F555" s="2" t="n">
        <v>46152</v>
      </c>
      <c r="G555" t="inlineStr">
        <is>
          <t>ISENIA YESICA CASTILLO BRONCANO</t>
        </is>
      </c>
      <c r="H555" t="inlineStr">
        <is>
          <t>Y</t>
        </is>
      </c>
      <c r="I555" t="inlineStr">
        <is>
          <t>4</t>
        </is>
      </c>
      <c r="L555">
        <f>K555-J555</f>
        <v/>
      </c>
      <c r="S555" t="n">
        <v>0</v>
      </c>
      <c r="T555" s="3">
        <f>SUM(O555:S555)</f>
        <v/>
      </c>
      <c r="U555" s="3">
        <f>IF(P555&lt;8,"USTED ESTÁ AL DÍA","USTED NO ESTÁ AL DÍA")</f>
        <v/>
      </c>
      <c r="V555" s="3" t="inlineStr">
        <is>
          <t>PAGO PRESENCIAL:  05/06 de 4-6 pm (LOCAL DEL PUEBLO), PAGO YAPE: 948 227 636</t>
        </is>
      </c>
      <c r="W555" t="n">
        <v>50</v>
      </c>
      <c r="X555" t="n">
        <v>75</v>
      </c>
      <c r="Y555">
        <f>T555+W555+X555</f>
        <v/>
      </c>
    </row>
    <row r="556" hidden="1" ht="15.75" customHeight="1" s="4">
      <c r="A556" s="3" t="n">
        <v>17450</v>
      </c>
      <c r="B556" s="3" t="inlineStr">
        <is>
          <t>11/04/2026 al 10/05/2026</t>
        </is>
      </c>
      <c r="C556" s="2" t="n">
        <v>46179</v>
      </c>
      <c r="D556" s="2" t="n">
        <v>46174</v>
      </c>
      <c r="E556" s="2" t="n">
        <v>46122</v>
      </c>
      <c r="F556" s="2" t="n">
        <v>46152</v>
      </c>
      <c r="G556" t="inlineStr">
        <is>
          <t>AREA VERDE DEL PUEBLO</t>
        </is>
      </c>
      <c r="H556" t="inlineStr">
        <is>
          <t>Y</t>
        </is>
      </c>
      <c r="I556" t="inlineStr">
        <is>
          <t>7</t>
        </is>
      </c>
      <c r="L556">
        <f>K556-J556</f>
        <v/>
      </c>
      <c r="S556" t="n">
        <v>0</v>
      </c>
      <c r="T556" s="3">
        <f>SUM(O556:S556)</f>
        <v/>
      </c>
      <c r="U556" s="3">
        <f>IF(P556&lt;8,"USTED ESTÁ AL DÍA","USTED NO ESTÁ AL DÍA")</f>
        <v/>
      </c>
      <c r="V556" s="3" t="inlineStr">
        <is>
          <t>PAGO PRESENCIAL:  05/06 de 4-6 pm (LOCAL DEL PUEBLO), PAGO YAPE: 948 227 636</t>
        </is>
      </c>
      <c r="Y556">
        <f>T556+W556+X556</f>
        <v/>
      </c>
    </row>
    <row r="557" hidden="1" ht="15.75" customHeight="1" s="4">
      <c r="A557" s="3" t="n">
        <v>17451</v>
      </c>
      <c r="B557" s="3" t="inlineStr">
        <is>
          <t>11/04/2026 al 10/05/2026</t>
        </is>
      </c>
      <c r="C557" s="2" t="n">
        <v>46179</v>
      </c>
      <c r="D557" s="2" t="n">
        <v>46174</v>
      </c>
      <c r="E557" s="2" t="n">
        <v>46122</v>
      </c>
      <c r="F557" s="2" t="n">
        <v>46152</v>
      </c>
      <c r="G557" t="inlineStr">
        <is>
          <t>AREA COMUNAL DEL PUEBLO</t>
        </is>
      </c>
      <c r="H557" t="inlineStr">
        <is>
          <t>Z</t>
        </is>
      </c>
      <c r="I557" t="inlineStr">
        <is>
          <t>6</t>
        </is>
      </c>
      <c r="J557" t="n">
        <v>0</v>
      </c>
      <c r="K557" t="n">
        <v>0</v>
      </c>
      <c r="L557">
        <f>K557-J557</f>
        <v/>
      </c>
      <c r="M557" t="n">
        <v>5</v>
      </c>
      <c r="O557" t="n">
        <v>5</v>
      </c>
      <c r="P557" t="n">
        <v>22</v>
      </c>
      <c r="Q557" t="n">
        <v>40</v>
      </c>
      <c r="S557" t="n">
        <v>3</v>
      </c>
      <c r="T557" s="3">
        <f>SUM(O557:S557)</f>
        <v/>
      </c>
      <c r="U557" s="3">
        <f>IF(P557&lt;8,"USTED ESTÁ AL DÍA","USTED NO ESTÁ AL DÍA")</f>
        <v/>
      </c>
      <c r="V557" s="3" t="inlineStr">
        <is>
          <t>PAGO PRESENCIAL:  05/06 de 4-6 pm (LOCAL DEL PUEBLO), PAGO YAPE: 948 227 636</t>
        </is>
      </c>
      <c r="Y557">
        <f>T557+W557+X557</f>
        <v/>
      </c>
    </row>
    <row r="558" hidden="1" ht="15.75" customHeight="1" s="4">
      <c r="A558" s="3" t="n">
        <v>17452</v>
      </c>
      <c r="B558" s="3" t="inlineStr">
        <is>
          <t>11/04/2026 al 10/05/2026</t>
        </is>
      </c>
      <c r="C558" s="2" t="n">
        <v>46179</v>
      </c>
      <c r="D558" s="2" t="n">
        <v>46174</v>
      </c>
      <c r="E558" s="2" t="n">
        <v>46122</v>
      </c>
      <c r="F558" s="2" t="n">
        <v>46152</v>
      </c>
      <c r="G558" t="inlineStr">
        <is>
          <t>SARA TARAZONA MIGUEL</t>
        </is>
      </c>
      <c r="H558" t="inlineStr">
        <is>
          <t>Z</t>
        </is>
      </c>
      <c r="I558" t="inlineStr">
        <is>
          <t>8</t>
        </is>
      </c>
      <c r="J558" t="n">
        <v>441</v>
      </c>
      <c r="K558" t="n">
        <v>453</v>
      </c>
      <c r="L558">
        <f>K558-J558</f>
        <v/>
      </c>
      <c r="M558" t="n">
        <v>12</v>
      </c>
      <c r="N558">
        <f>IF(L558&lt;&gt;M558,1,0)</f>
        <v/>
      </c>
      <c r="O558" t="n">
        <v>12</v>
      </c>
      <c r="P558" t="n">
        <v>16</v>
      </c>
      <c r="S558" t="n">
        <v>3</v>
      </c>
      <c r="T558" s="3">
        <f>SUM(O558:S558)</f>
        <v/>
      </c>
      <c r="U558" s="3">
        <f>IF(P558&lt;8,"USTED ESTÁ AL DÍA","USTED NO ESTÁ AL DÍA")</f>
        <v/>
      </c>
      <c r="V558" s="3" t="inlineStr">
        <is>
          <t>PAGO PRESENCIAL:  05/06 de 4-6 pm (LOCAL DEL PUEBLO), PAGO YAPE: 948 227 636</t>
        </is>
      </c>
      <c r="W558" t="n">
        <v>30</v>
      </c>
      <c r="Y558">
        <f>T558+W558+X558</f>
        <v/>
      </c>
    </row>
    <row r="559" hidden="1" ht="15.75" customHeight="1" s="4">
      <c r="A559" s="3" t="n">
        <v>17453</v>
      </c>
      <c r="B559" s="3" t="inlineStr">
        <is>
          <t>11/04/2026 al 10/05/2026</t>
        </is>
      </c>
      <c r="C559" s="2" t="n">
        <v>46179</v>
      </c>
      <c r="D559" s="2" t="n">
        <v>46174</v>
      </c>
      <c r="E559" s="2" t="n">
        <v>46122</v>
      </c>
      <c r="F559" s="2" t="n">
        <v>46152</v>
      </c>
      <c r="G559" t="inlineStr">
        <is>
          <t>MARLENY JENNY POLO CIRILO</t>
        </is>
      </c>
      <c r="H559" t="inlineStr">
        <is>
          <t>Z</t>
        </is>
      </c>
      <c r="I559" t="inlineStr">
        <is>
          <t>11</t>
        </is>
      </c>
      <c r="J559" t="n">
        <v>1390</v>
      </c>
      <c r="K559" t="n">
        <v>1398</v>
      </c>
      <c r="L559">
        <f>K559-J559</f>
        <v/>
      </c>
      <c r="M559" t="n">
        <v>8</v>
      </c>
      <c r="N559">
        <f>IF(L559&lt;&gt;M559,1,0)</f>
        <v/>
      </c>
      <c r="O559" t="n">
        <v>8</v>
      </c>
      <c r="P559" t="n">
        <v>15</v>
      </c>
      <c r="S559" t="n">
        <v>3</v>
      </c>
      <c r="T559" s="3">
        <f>SUM(O559:S559)</f>
        <v/>
      </c>
      <c r="U559" s="3">
        <f>IF(P559&lt;8,"USTED ESTÁ AL DÍA","USTED NO ESTÁ AL DÍA")</f>
        <v/>
      </c>
      <c r="V559" s="3" t="inlineStr">
        <is>
          <t>PAGO PRESENCIAL:  05/06 de 4-6 pm (LOCAL DEL PUEBLO), PAGO YAPE: 948 227 636</t>
        </is>
      </c>
      <c r="W559" t="n">
        <v>0</v>
      </c>
      <c r="Y559">
        <f>T559+W559+X559</f>
        <v/>
      </c>
    </row>
    <row r="560" hidden="1" ht="15.75" customHeight="1" s="4">
      <c r="A560" s="3" t="n">
        <v>17454</v>
      </c>
      <c r="B560" s="3" t="inlineStr">
        <is>
          <t>11/04/2026 al 10/05/2026</t>
        </is>
      </c>
      <c r="C560" s="2" t="n">
        <v>46179</v>
      </c>
      <c r="D560" s="2" t="n">
        <v>46174</v>
      </c>
      <c r="E560" s="2" t="n">
        <v>46122</v>
      </c>
      <c r="F560" s="2" t="n">
        <v>46152</v>
      </c>
      <c r="G560" t="inlineStr">
        <is>
          <t>ALEJANDRO GRADOS APELO</t>
        </is>
      </c>
      <c r="H560" t="inlineStr">
        <is>
          <t>Z</t>
        </is>
      </c>
      <c r="I560" t="inlineStr">
        <is>
          <t>12</t>
        </is>
      </c>
      <c r="J560" t="n">
        <v>85</v>
      </c>
      <c r="K560" t="n">
        <v>88</v>
      </c>
      <c r="L560">
        <f>K560-J560</f>
        <v/>
      </c>
      <c r="M560" t="n">
        <v>5</v>
      </c>
      <c r="O560" t="n">
        <v>5</v>
      </c>
      <c r="P560" t="n">
        <v>8</v>
      </c>
      <c r="S560" t="n">
        <v>3</v>
      </c>
      <c r="T560" s="3">
        <f>SUM(O560:S560)</f>
        <v/>
      </c>
      <c r="U560" s="3">
        <f>IF(P560&lt;8,"USTED ESTÁ AL DÍA","USTED NO ESTÁ AL DÍA")</f>
        <v/>
      </c>
      <c r="V560" s="3" t="inlineStr">
        <is>
          <t>PAGO PRESENCIAL:  05/06 de 4-6 pm (LOCAL DEL PUEBLO), PAGO YAPE: 948 227 636</t>
        </is>
      </c>
      <c r="W560" t="n">
        <v>80</v>
      </c>
      <c r="X560" t="n">
        <v>50</v>
      </c>
      <c r="Y560">
        <f>T560+W560+X560</f>
        <v/>
      </c>
    </row>
    <row r="561" hidden="1" ht="15.75" customHeight="1" s="4">
      <c r="A561" s="3" t="n">
        <v>17455</v>
      </c>
      <c r="B561" s="3" t="inlineStr">
        <is>
          <t>11/04/2026 al 10/05/2026</t>
        </is>
      </c>
      <c r="C561" s="2" t="n">
        <v>46179</v>
      </c>
      <c r="D561" s="2" t="n">
        <v>46174</v>
      </c>
      <c r="E561" s="2" t="n">
        <v>46122</v>
      </c>
      <c r="F561" s="2" t="n">
        <v>46152</v>
      </c>
      <c r="G561" t="inlineStr">
        <is>
          <t>ROSA DURAND SALES</t>
        </is>
      </c>
      <c r="H561" t="inlineStr">
        <is>
          <t>Z</t>
        </is>
      </c>
      <c r="I561" t="inlineStr">
        <is>
          <t>14</t>
        </is>
      </c>
      <c r="J561" t="n">
        <v>1192</v>
      </c>
      <c r="K561" t="n">
        <v>1201</v>
      </c>
      <c r="L561">
        <f>K561-J561</f>
        <v/>
      </c>
      <c r="M561" t="n">
        <v>9</v>
      </c>
      <c r="N561">
        <f>IF(L561&lt;&gt;M561,1,0)</f>
        <v/>
      </c>
      <c r="O561" t="n">
        <v>9</v>
      </c>
      <c r="P561" t="n">
        <v>13</v>
      </c>
      <c r="S561" t="n">
        <v>3</v>
      </c>
      <c r="T561" s="3">
        <f>SUM(O561:S561)</f>
        <v/>
      </c>
      <c r="U561" s="3">
        <f>IF(P561&lt;8,"USTED ESTÁ AL DÍA","USTED NO ESTÁ AL DÍA")</f>
        <v/>
      </c>
      <c r="V561" s="3" t="inlineStr">
        <is>
          <t>PAGO PRESENCIAL:  05/06 de 4-6 pm (LOCAL DEL PUEBLO), PAGO YAPE: 948 227 636</t>
        </is>
      </c>
      <c r="W561" t="n">
        <v>20</v>
      </c>
      <c r="X561" t="n">
        <v>50</v>
      </c>
      <c r="Y561">
        <f>T561+W561+X561</f>
        <v/>
      </c>
    </row>
    <row r="562" hidden="1" ht="15.75" customHeight="1" s="4">
      <c r="A562" s="3" t="n">
        <v>17456</v>
      </c>
      <c r="B562" s="3" t="inlineStr">
        <is>
          <t>11/04/2026 al 10/05/2026</t>
        </is>
      </c>
      <c r="C562" s="2" t="n">
        <v>46179</v>
      </c>
      <c r="D562" s="2" t="n">
        <v>46174</v>
      </c>
      <c r="E562" s="2" t="n">
        <v>46122</v>
      </c>
      <c r="F562" s="2" t="n">
        <v>46152</v>
      </c>
      <c r="G562" t="inlineStr">
        <is>
          <t>ALFREDO GRADOS APELO</t>
        </is>
      </c>
      <c r="H562" t="inlineStr">
        <is>
          <t>Z</t>
        </is>
      </c>
      <c r="I562" t="inlineStr">
        <is>
          <t>15</t>
        </is>
      </c>
      <c r="J562" t="n">
        <v>1522</v>
      </c>
      <c r="K562" t="n">
        <v>1528</v>
      </c>
      <c r="L562">
        <f>K562-J562</f>
        <v/>
      </c>
      <c r="M562" t="n">
        <v>6</v>
      </c>
      <c r="N562">
        <f>IF(L562&lt;&gt;M562,1,0)</f>
        <v/>
      </c>
      <c r="O562" t="n">
        <v>6</v>
      </c>
      <c r="P562" t="n">
        <v>10</v>
      </c>
      <c r="S562" t="n">
        <v>3</v>
      </c>
      <c r="T562" s="3">
        <f>SUM(O562:S562)</f>
        <v/>
      </c>
      <c r="U562" s="3">
        <f>IF(P562&lt;8,"USTED ESTÁ AL DÍA","USTED NO ESTÁ AL DÍA")</f>
        <v/>
      </c>
      <c r="V562" s="3" t="inlineStr">
        <is>
          <t>PAGO PRESENCIAL:  05/06 de 4-6 pm (LOCAL DEL PUEBLO), PAGO YAPE: 948 227 636</t>
        </is>
      </c>
      <c r="W562" t="n">
        <v>30</v>
      </c>
      <c r="X562" t="n">
        <v>50</v>
      </c>
      <c r="Y562">
        <f>T562+W562+X562</f>
        <v/>
      </c>
    </row>
    <row r="563" hidden="1" ht="15.75" customHeight="1" s="4">
      <c r="A563" s="3" t="n">
        <v>17457</v>
      </c>
      <c r="B563" s="3" t="inlineStr">
        <is>
          <t>11/04/2026 al 10/05/2026</t>
        </is>
      </c>
      <c r="C563" s="2" t="n">
        <v>46179</v>
      </c>
      <c r="D563" s="2" t="n">
        <v>46174</v>
      </c>
      <c r="E563" s="2" t="n">
        <v>46122</v>
      </c>
      <c r="F563" s="2" t="n">
        <v>46152</v>
      </c>
      <c r="G563" t="inlineStr">
        <is>
          <t>OSCAR ROGER FLORES TRUJILLO</t>
        </is>
      </c>
      <c r="H563" t="inlineStr">
        <is>
          <t>Z</t>
        </is>
      </c>
      <c r="I563" t="inlineStr">
        <is>
          <t>17</t>
        </is>
      </c>
      <c r="J563" t="n">
        <v>2039</v>
      </c>
      <c r="K563" t="n">
        <v>2069</v>
      </c>
      <c r="L563">
        <f>K563-J563</f>
        <v/>
      </c>
      <c r="M563" t="n">
        <v>30</v>
      </c>
      <c r="N563">
        <f>IF(L563&lt;&gt;M563,1,0)</f>
        <v/>
      </c>
      <c r="O563" t="n">
        <v>30</v>
      </c>
      <c r="P563" t="n">
        <v>41</v>
      </c>
      <c r="S563" t="n">
        <v>3</v>
      </c>
      <c r="T563" s="3">
        <f>SUM(O563:S563)</f>
        <v/>
      </c>
      <c r="U563" s="3">
        <f>IF(P563&lt;8,"USTED ESTÁ AL DÍA","USTED NO ESTÁ AL DÍA")</f>
        <v/>
      </c>
      <c r="V563" s="3" t="inlineStr">
        <is>
          <t>PAGO PRESENCIAL:  05/06 de 4-6 pm (LOCAL DEL PUEBLO), PAGO YAPE: 948 227 636</t>
        </is>
      </c>
      <c r="X563" t="n">
        <v>50</v>
      </c>
      <c r="Y563">
        <f>T563+W563+X563</f>
        <v/>
      </c>
    </row>
    <row r="564" hidden="1" ht="15.75" customHeight="1" s="4">
      <c r="A564" s="3" t="n">
        <v>17458</v>
      </c>
      <c r="B564" s="3" t="inlineStr">
        <is>
          <t>11/04/2026 al 10/05/2026</t>
        </is>
      </c>
      <c r="C564" s="2" t="n">
        <v>46179</v>
      </c>
      <c r="D564" s="2" t="n">
        <v>46174</v>
      </c>
      <c r="E564" s="2" t="n">
        <v>46122</v>
      </c>
      <c r="F564" s="2" t="n">
        <v>46152</v>
      </c>
      <c r="G564" t="inlineStr">
        <is>
          <t>JAVIER ESPINOZA FERNANDEZ</t>
        </is>
      </c>
      <c r="H564" t="inlineStr">
        <is>
          <t>Z</t>
        </is>
      </c>
      <c r="I564" t="inlineStr">
        <is>
          <t>2</t>
        </is>
      </c>
      <c r="J564" t="n">
        <v>1565</v>
      </c>
      <c r="K564" t="n">
        <v>1573</v>
      </c>
      <c r="L564">
        <f>K564-J564</f>
        <v/>
      </c>
      <c r="M564" t="n">
        <v>8</v>
      </c>
      <c r="N564">
        <f>IF(L564&lt;&gt;M564,1,0)</f>
        <v/>
      </c>
      <c r="O564" t="n">
        <v>8</v>
      </c>
      <c r="S564" t="n">
        <v>3</v>
      </c>
      <c r="T564" s="3">
        <f>SUM(O564:S564)</f>
        <v/>
      </c>
      <c r="U564" s="3">
        <f>IF(P564&lt;8,"USTED ESTÁ AL DÍA","USTED NO ESTÁ AL DÍA")</f>
        <v/>
      </c>
      <c r="V564" s="3" t="inlineStr">
        <is>
          <t>PAGO PRESENCIAL:  05/06 de 4-6 pm (LOCAL DEL PUEBLO), PAGO YAPE: 948 227 636</t>
        </is>
      </c>
      <c r="X564" t="n">
        <v>50</v>
      </c>
      <c r="Y564">
        <f>T564+W564+X564</f>
        <v/>
      </c>
    </row>
    <row r="565" hidden="1" ht="15.75" customHeight="1" s="4">
      <c r="A565" s="3" t="n">
        <v>17459</v>
      </c>
      <c r="B565" s="3" t="inlineStr">
        <is>
          <t>11/04/2026 al 10/05/2026</t>
        </is>
      </c>
      <c r="C565" s="2" t="n">
        <v>46179</v>
      </c>
      <c r="D565" s="2" t="n">
        <v>46174</v>
      </c>
      <c r="E565" s="2" t="n">
        <v>46122</v>
      </c>
      <c r="F565" s="2" t="n">
        <v>46152</v>
      </c>
      <c r="G565" t="inlineStr">
        <is>
          <t>MARTHA BACILIO RAMOS</t>
        </is>
      </c>
      <c r="H565" t="inlineStr">
        <is>
          <t>Z</t>
        </is>
      </c>
      <c r="I565" t="inlineStr">
        <is>
          <t>3</t>
        </is>
      </c>
      <c r="J565" t="n">
        <v>488</v>
      </c>
      <c r="K565" t="n">
        <v>497</v>
      </c>
      <c r="L565">
        <f>K565-J565</f>
        <v/>
      </c>
      <c r="M565" t="n">
        <v>9</v>
      </c>
      <c r="N565">
        <f>IF(L565&lt;&gt;M565,1,0)</f>
        <v/>
      </c>
      <c r="O565" t="n">
        <v>9</v>
      </c>
      <c r="S565" t="n">
        <v>3</v>
      </c>
      <c r="T565" s="3">
        <f>SUM(O565:S565)</f>
        <v/>
      </c>
      <c r="U565" s="3">
        <f>IF(P565&lt;8,"USTED ESTÁ AL DÍA","USTED NO ESTÁ AL DÍA")</f>
        <v/>
      </c>
      <c r="V565" s="3" t="inlineStr">
        <is>
          <t>PAGO PRESENCIAL:  05/06 de 4-6 pm (LOCAL DEL PUEBLO), PAGO YAPE: 948 227 636</t>
        </is>
      </c>
      <c r="W565" t="n">
        <v>50</v>
      </c>
      <c r="X565" t="n">
        <v>75</v>
      </c>
      <c r="Y565">
        <f>T565+W565+X565</f>
        <v/>
      </c>
    </row>
    <row r="566" hidden="1" ht="15.75" customHeight="1" s="4">
      <c r="A566" s="3" t="n">
        <v>17460</v>
      </c>
      <c r="B566" s="3" t="inlineStr">
        <is>
          <t>11/04/2026 al 10/05/2026</t>
        </is>
      </c>
      <c r="C566" s="2" t="n">
        <v>46179</v>
      </c>
      <c r="D566" s="2" t="n">
        <v>46174</v>
      </c>
      <c r="E566" s="2" t="n">
        <v>46122</v>
      </c>
      <c r="F566" s="2" t="n">
        <v>46152</v>
      </c>
      <c r="G566" t="inlineStr">
        <is>
          <t>MARIA BACILIO RAMOS</t>
        </is>
      </c>
      <c r="H566" t="inlineStr">
        <is>
          <t>Z</t>
        </is>
      </c>
      <c r="I566" t="inlineStr">
        <is>
          <t>4</t>
        </is>
      </c>
      <c r="J566" t="n">
        <v>1983</v>
      </c>
      <c r="K566" t="n">
        <v>1988</v>
      </c>
      <c r="L566">
        <f>K566-J566</f>
        <v/>
      </c>
      <c r="M566" t="n">
        <v>5</v>
      </c>
      <c r="O566" t="n">
        <v>5</v>
      </c>
      <c r="S566" t="n">
        <v>3</v>
      </c>
      <c r="T566" s="3">
        <f>SUM(O566:S566)</f>
        <v/>
      </c>
      <c r="U566" s="3">
        <f>IF(P566&lt;8,"USTED ESTÁ AL DÍA","USTED NO ESTÁ AL DÍA")</f>
        <v/>
      </c>
      <c r="V566" s="3" t="inlineStr">
        <is>
          <t>PAGO PRESENCIAL:  05/06 de 4-6 pm (LOCAL DEL PUEBLO), PAGO YAPE: 948 227 636</t>
        </is>
      </c>
      <c r="W566" t="n">
        <v>50</v>
      </c>
      <c r="X566" t="n">
        <v>50</v>
      </c>
      <c r="Y566">
        <f>T566+W566+X566</f>
        <v/>
      </c>
    </row>
    <row r="567" hidden="1" ht="15.75" customHeight="1" s="4">
      <c r="A567" s="3" t="n">
        <v>17461</v>
      </c>
      <c r="B567" s="3" t="inlineStr">
        <is>
          <t>11/04/2026 al 10/05/2026</t>
        </is>
      </c>
      <c r="C567" s="2" t="n">
        <v>46179</v>
      </c>
      <c r="D567" s="2" t="n">
        <v>46174</v>
      </c>
      <c r="E567" s="2" t="n">
        <v>46122</v>
      </c>
      <c r="F567" s="2" t="n">
        <v>46152</v>
      </c>
      <c r="G567" t="inlineStr">
        <is>
          <t>WILSON PATRICIO HUAYTA</t>
        </is>
      </c>
      <c r="H567" t="inlineStr">
        <is>
          <t>Z</t>
        </is>
      </c>
      <c r="I567" t="inlineStr">
        <is>
          <t>5</t>
        </is>
      </c>
      <c r="J567" t="n">
        <v>15</v>
      </c>
      <c r="K567" t="n">
        <v>15</v>
      </c>
      <c r="L567">
        <f>K567-J567</f>
        <v/>
      </c>
      <c r="M567" t="n">
        <v>5</v>
      </c>
      <c r="O567" t="n">
        <v>5</v>
      </c>
      <c r="S567" t="n">
        <v>3</v>
      </c>
      <c r="T567" s="3">
        <f>SUM(O567:S567)</f>
        <v/>
      </c>
      <c r="U567" s="3">
        <f>IF(P567&lt;8,"USTED ESTÁ AL DÍA","USTED NO ESTÁ AL DÍA")</f>
        <v/>
      </c>
      <c r="V567" s="3" t="inlineStr">
        <is>
          <t>PAGO PRESENCIAL:  05/06 de 4-6 pm (LOCAL DEL PUEBLO), PAGO YAPE: 948 227 636</t>
        </is>
      </c>
      <c r="W567" t="n">
        <v>50</v>
      </c>
      <c r="X567" t="n">
        <v>75</v>
      </c>
      <c r="Y567">
        <f>T567+W567+X567</f>
        <v/>
      </c>
    </row>
    <row r="568" hidden="1" ht="15.75" customHeight="1" s="4">
      <c r="A568" s="3" t="n">
        <v>17462</v>
      </c>
      <c r="B568" s="3" t="inlineStr">
        <is>
          <t>11/04/2026 al 10/05/2026</t>
        </is>
      </c>
      <c r="C568" s="2" t="n">
        <v>46179</v>
      </c>
      <c r="D568" s="2" t="n">
        <v>46174</v>
      </c>
      <c r="E568" s="2" t="n">
        <v>46122</v>
      </c>
      <c r="F568" s="2" t="n">
        <v>46152</v>
      </c>
      <c r="G568" t="inlineStr">
        <is>
          <t>DIEGO MAYO SAMARITANO</t>
        </is>
      </c>
      <c r="H568" t="inlineStr">
        <is>
          <t>Z</t>
        </is>
      </c>
      <c r="I568" t="inlineStr">
        <is>
          <t>7</t>
        </is>
      </c>
      <c r="J568" t="n">
        <v>1000</v>
      </c>
      <c r="K568" t="n">
        <v>1005</v>
      </c>
      <c r="L568">
        <f>K568-J568</f>
        <v/>
      </c>
      <c r="M568" t="n">
        <v>5</v>
      </c>
      <c r="O568" t="n">
        <v>5</v>
      </c>
      <c r="S568" t="n">
        <v>3</v>
      </c>
      <c r="T568" s="3">
        <f>SUM(O568:S568)</f>
        <v/>
      </c>
      <c r="U568" s="3">
        <f>IF(P568&lt;8,"USTED ESTÁ AL DÍA","USTED NO ESTÁ AL DÍA")</f>
        <v/>
      </c>
      <c r="V568" s="3" t="inlineStr">
        <is>
          <t>PAGO PRESENCIAL:  05/06 de 4-6 pm (LOCAL DEL PUEBLO), PAGO YAPE: 948 227 636</t>
        </is>
      </c>
      <c r="W568" t="n">
        <v>0</v>
      </c>
      <c r="Y568">
        <f>T568+W568+X568</f>
        <v/>
      </c>
    </row>
    <row r="569" hidden="1" ht="15.75" customHeight="1" s="4">
      <c r="A569" s="3" t="n">
        <v>17463</v>
      </c>
      <c r="B569" s="3" t="inlineStr">
        <is>
          <t>11/04/2026 al 10/05/2026</t>
        </is>
      </c>
      <c r="C569" s="2" t="n">
        <v>46179</v>
      </c>
      <c r="D569" s="2" t="n">
        <v>46174</v>
      </c>
      <c r="E569" s="2" t="n">
        <v>46122</v>
      </c>
      <c r="F569" s="2" t="n">
        <v>46152</v>
      </c>
      <c r="G569" t="inlineStr">
        <is>
          <t>ELENA JUANA CASTILLEJO CAPCHA</t>
        </is>
      </c>
      <c r="H569" t="inlineStr">
        <is>
          <t>Z</t>
        </is>
      </c>
      <c r="I569" t="inlineStr">
        <is>
          <t>9</t>
        </is>
      </c>
      <c r="J569" t="n">
        <v>504</v>
      </c>
      <c r="K569" t="n">
        <v>510</v>
      </c>
      <c r="L569">
        <f>K569-J569</f>
        <v/>
      </c>
      <c r="M569" t="n">
        <v>6</v>
      </c>
      <c r="N569">
        <f>IF(L569&lt;&gt;M569,1,0)</f>
        <v/>
      </c>
      <c r="O569" t="n">
        <v>6</v>
      </c>
      <c r="S569" t="n">
        <v>3</v>
      </c>
      <c r="T569" s="3">
        <f>SUM(O569:S569)</f>
        <v/>
      </c>
      <c r="U569" s="3">
        <f>IF(P569&lt;8,"USTED ESTÁ AL DÍA","USTED NO ESTÁ AL DÍA")</f>
        <v/>
      </c>
      <c r="V569" s="3" t="inlineStr">
        <is>
          <t>PAGO PRESENCIAL:  05/06 de 4-6 pm (LOCAL DEL PUEBLO), PAGO YAPE: 948 227 636</t>
        </is>
      </c>
      <c r="Y569">
        <f>T569+W569+X569</f>
        <v/>
      </c>
    </row>
    <row r="570" hidden="1" ht="15.75" customHeight="1" s="4">
      <c r="A570" s="3" t="n">
        <v>17464</v>
      </c>
      <c r="B570" s="3" t="inlineStr">
        <is>
          <t>11/04/2026 al 10/05/2026</t>
        </is>
      </c>
      <c r="C570" s="2" t="n">
        <v>46179</v>
      </c>
      <c r="D570" s="2" t="n">
        <v>46174</v>
      </c>
      <c r="E570" s="2" t="n">
        <v>46122</v>
      </c>
      <c r="F570" s="2" t="n">
        <v>46152</v>
      </c>
      <c r="G570" t="inlineStr">
        <is>
          <t>MILAGROS SIGUEÑAS SAENZ</t>
        </is>
      </c>
      <c r="H570" t="inlineStr">
        <is>
          <t>Z</t>
        </is>
      </c>
      <c r="I570" t="inlineStr">
        <is>
          <t>13</t>
        </is>
      </c>
      <c r="J570" t="n">
        <v>583</v>
      </c>
      <c r="K570" t="n">
        <v>585</v>
      </c>
      <c r="L570">
        <f>K570-J570</f>
        <v/>
      </c>
      <c r="M570" t="n">
        <v>5</v>
      </c>
      <c r="O570" t="n">
        <v>5</v>
      </c>
      <c r="Q570" t="n">
        <v>40</v>
      </c>
      <c r="S570" t="n">
        <v>3</v>
      </c>
      <c r="T570" s="3">
        <f>SUM(O570:S570)</f>
        <v/>
      </c>
      <c r="U570" s="3">
        <f>IF(P570&lt;8,"USTED ESTÁ AL DÍA","USTED NO ESTÁ AL DÍA")</f>
        <v/>
      </c>
      <c r="V570" s="3" t="inlineStr">
        <is>
          <t>PAGO PRESENCIAL:  05/06 de 4-6 pm (LOCAL DEL PUEBLO), PAGO YAPE: 948 227 636</t>
        </is>
      </c>
      <c r="W570" t="n">
        <v>30</v>
      </c>
      <c r="X570" t="n">
        <v>75</v>
      </c>
      <c r="Y570">
        <f>T570+W570+X570</f>
        <v/>
      </c>
    </row>
    <row r="571" hidden="1" ht="15.75" customHeight="1" s="4">
      <c r="A571" s="3" t="n">
        <v>17465</v>
      </c>
      <c r="B571" s="3" t="inlineStr">
        <is>
          <t>11/04/2026 al 10/05/2026</t>
        </is>
      </c>
      <c r="C571" s="2" t="n">
        <v>46179</v>
      </c>
      <c r="D571" s="2" t="n">
        <v>46174</v>
      </c>
      <c r="E571" s="2" t="n">
        <v>46122</v>
      </c>
      <c r="F571" s="2" t="n">
        <v>46152</v>
      </c>
      <c r="G571" t="inlineStr">
        <is>
          <t>CHARLE RIOS FLORES POLO</t>
        </is>
      </c>
      <c r="H571" t="inlineStr">
        <is>
          <t>Z</t>
        </is>
      </c>
      <c r="I571" t="inlineStr">
        <is>
          <t>16</t>
        </is>
      </c>
      <c r="J571" t="n">
        <v>1944</v>
      </c>
      <c r="K571" t="n">
        <v>1945</v>
      </c>
      <c r="L571">
        <f>K571-J571</f>
        <v/>
      </c>
      <c r="M571" t="n">
        <v>5</v>
      </c>
      <c r="O571" t="n">
        <v>5</v>
      </c>
      <c r="S571" t="n">
        <v>3</v>
      </c>
      <c r="T571" s="3">
        <f>SUM(O571:S571)</f>
        <v/>
      </c>
      <c r="U571" s="3">
        <f>IF(P571&lt;8,"USTED ESTÁ AL DÍA","USTED NO ESTÁ AL DÍA")</f>
        <v/>
      </c>
      <c r="V571" s="3" t="inlineStr">
        <is>
          <t>PAGO PRESENCIAL:  05/06 de 4-6 pm (LOCAL DEL PUEBLO), PAGO YAPE: 948 227 636</t>
        </is>
      </c>
      <c r="Y571">
        <f>T571+W571+X571</f>
        <v/>
      </c>
    </row>
    <row r="572" hidden="1" ht="15.75" customHeight="1" s="4">
      <c r="A572" s="3" t="n">
        <v>17466</v>
      </c>
      <c r="B572" s="3" t="inlineStr">
        <is>
          <t>11/04/2026 al 10/05/2026</t>
        </is>
      </c>
      <c r="C572" s="2" t="n">
        <v>46179</v>
      </c>
      <c r="D572" s="2" t="n">
        <v>46174</v>
      </c>
      <c r="E572" s="2" t="n">
        <v>46122</v>
      </c>
      <c r="F572" s="2" t="n">
        <v>46152</v>
      </c>
      <c r="G572" t="inlineStr">
        <is>
          <t>NOEMI POLO CIRILO</t>
        </is>
      </c>
      <c r="H572" t="inlineStr">
        <is>
          <t>Z</t>
        </is>
      </c>
      <c r="I572" t="inlineStr">
        <is>
          <t>18</t>
        </is>
      </c>
      <c r="J572" t="n">
        <v>279</v>
      </c>
      <c r="K572" t="n">
        <v>295</v>
      </c>
      <c r="L572">
        <f>K572-J572</f>
        <v/>
      </c>
      <c r="M572" t="n">
        <v>16</v>
      </c>
      <c r="N572">
        <f>IF(L572&lt;&gt;M572,1,0)</f>
        <v/>
      </c>
      <c r="O572" t="n">
        <v>16</v>
      </c>
      <c r="S572" t="n">
        <v>3</v>
      </c>
      <c r="T572" s="3">
        <f>SUM(O572:S572)</f>
        <v/>
      </c>
      <c r="U572" s="3">
        <f>IF(P572&lt;8,"USTED ESTÁ AL DÍA","USTED NO ESTÁ AL DÍA")</f>
        <v/>
      </c>
      <c r="V572" s="3" t="inlineStr">
        <is>
          <t>PAGO PRESENCIAL:  05/06 de 4-6 pm (LOCAL DEL PUEBLO), PAGO YAPE: 948 227 636</t>
        </is>
      </c>
      <c r="Y572">
        <f>T572+W572+X572</f>
        <v/>
      </c>
    </row>
    <row r="573" hidden="1" ht="15.75" customHeight="1" s="4">
      <c r="A573" s="3" t="n">
        <v>17467</v>
      </c>
      <c r="B573" s="3" t="inlineStr">
        <is>
          <t>11/04/2026 al 10/05/2026</t>
        </is>
      </c>
      <c r="C573" s="2" t="n">
        <v>46179</v>
      </c>
      <c r="D573" s="2" t="n">
        <v>46174</v>
      </c>
      <c r="E573" s="2" t="n">
        <v>46122</v>
      </c>
      <c r="F573" s="2" t="n">
        <v>46152</v>
      </c>
      <c r="G573" t="inlineStr">
        <is>
          <t>VASQUEZ HHURTADO ORLANDO</t>
        </is>
      </c>
      <c r="H573" t="inlineStr">
        <is>
          <t>Z</t>
        </is>
      </c>
      <c r="I573" t="inlineStr">
        <is>
          <t>1</t>
        </is>
      </c>
      <c r="L573">
        <f>K573-J573</f>
        <v/>
      </c>
      <c r="S573" t="n">
        <v>0</v>
      </c>
      <c r="T573" s="3">
        <f>SUM(O573:S573)</f>
        <v/>
      </c>
      <c r="U573" s="3">
        <f>IF(P573&lt;8,"USTED ESTÁ AL DÍA","USTED NO ESTÁ AL DÍA")</f>
        <v/>
      </c>
      <c r="V573" s="3" t="inlineStr">
        <is>
          <t>PAGO PRESENCIAL:  05/06 de 4-6 pm (LOCAL DEL PUEBLO), PAGO YAPE: 948 227 636</t>
        </is>
      </c>
      <c r="W573" t="n">
        <v>30</v>
      </c>
      <c r="Y573">
        <f>T573+W573+X573</f>
        <v/>
      </c>
    </row>
    <row r="574" hidden="1" ht="15.75" customHeight="1" s="4">
      <c r="A574" s="3" t="n">
        <v>17468</v>
      </c>
      <c r="B574" s="3" t="inlineStr">
        <is>
          <t>11/04/2026 al 10/05/2026</t>
        </is>
      </c>
      <c r="C574" s="2" t="n">
        <v>46179</v>
      </c>
      <c r="D574" s="2" t="n">
        <v>46174</v>
      </c>
      <c r="E574" s="2" t="n">
        <v>46122</v>
      </c>
      <c r="F574" s="2" t="n">
        <v>46152</v>
      </c>
      <c r="G574" t="inlineStr">
        <is>
          <t>ESTHEFANY MAGALY PONTE SANCHEZ</t>
        </is>
      </c>
      <c r="H574" t="inlineStr">
        <is>
          <t>Z</t>
        </is>
      </c>
      <c r="I574" t="inlineStr">
        <is>
          <t>10</t>
        </is>
      </c>
      <c r="L574">
        <f>K574-J574</f>
        <v/>
      </c>
      <c r="S574" t="n">
        <v>0</v>
      </c>
      <c r="T574" s="3">
        <f>SUM(O574:S574)</f>
        <v/>
      </c>
      <c r="U574" s="3">
        <f>IF(P574&lt;8,"USTED ESTÁ AL DÍA","USTED NO ESTÁ AL DÍA")</f>
        <v/>
      </c>
      <c r="V574" s="3" t="inlineStr">
        <is>
          <t>PAGO PRESENCIAL:  05/06 de 4-6 pm (LOCAL DEL PUEBLO), PAGO YAPE: 948 227 636</t>
        </is>
      </c>
      <c r="W574" t="n">
        <v>50</v>
      </c>
      <c r="X574" t="n">
        <v>75</v>
      </c>
      <c r="Y574">
        <f>T574+W574+X574</f>
        <v/>
      </c>
    </row>
    <row r="575" hidden="1" ht="15.75" customHeight="1" s="4">
      <c r="A575" s="3" t="n">
        <v>17469</v>
      </c>
      <c r="B575" s="3" t="inlineStr">
        <is>
          <t>11/04/2026 al 10/05/2026</t>
        </is>
      </c>
      <c r="C575" s="2" t="n">
        <v>46179</v>
      </c>
      <c r="D575" s="2" t="n">
        <v>46174</v>
      </c>
      <c r="E575" s="2" t="n">
        <v>46122</v>
      </c>
      <c r="F575" s="2" t="n">
        <v>46152</v>
      </c>
      <c r="G575" t="inlineStr">
        <is>
          <t>HERMENIJILDA CONDOR ARTICA</t>
        </is>
      </c>
      <c r="H575" t="inlineStr">
        <is>
          <t>Z</t>
        </is>
      </c>
      <c r="I575" t="inlineStr">
        <is>
          <t>19</t>
        </is>
      </c>
      <c r="L575">
        <f>K575-J575</f>
        <v/>
      </c>
      <c r="S575" t="n">
        <v>0</v>
      </c>
      <c r="T575" s="3">
        <f>SUM(O575:S575)</f>
        <v/>
      </c>
      <c r="U575" s="3">
        <f>IF(P575&lt;8,"USTED ESTÁ AL DÍA","USTED NO ESTÁ AL DÍA")</f>
        <v/>
      </c>
      <c r="V575" s="3" t="inlineStr">
        <is>
          <t>PAGO PRESENCIAL:  05/06 de 4-6 pm (LOCAL DEL PUEBLO), PAGO YAPE: 948 227 636</t>
        </is>
      </c>
      <c r="W575" t="n">
        <v>50</v>
      </c>
      <c r="X575" t="n">
        <v>50</v>
      </c>
      <c r="Y575">
        <f>T575+W575+X575</f>
        <v/>
      </c>
    </row>
    <row r="576" ht="14.5" customHeight="1" s="4">
      <c r="A576" t="n">
        <v>17470</v>
      </c>
      <c r="B576" t="inlineStr">
        <is>
          <t>11/04/2026 al 10/05/2026</t>
        </is>
      </c>
      <c r="C576" s="2" t="n">
        <v>46179</v>
      </c>
      <c r="D576" s="2" t="n">
        <v>46174</v>
      </c>
      <c r="E576" s="2" t="n">
        <v>46122</v>
      </c>
      <c r="F576" s="2" t="n">
        <v>46152</v>
      </c>
      <c r="G576" t="inlineStr">
        <is>
          <t>NELLY MORENO LICITO</t>
        </is>
      </c>
      <c r="H576" t="inlineStr">
        <is>
          <t>C1</t>
        </is>
      </c>
      <c r="I576" t="inlineStr">
        <is>
          <t>16</t>
        </is>
      </c>
      <c r="J576" t="n">
        <v>0</v>
      </c>
      <c r="K576" t="n">
        <v>5</v>
      </c>
      <c r="L576" t="n">
        <v>0</v>
      </c>
      <c r="M576" t="n">
        <v>5</v>
      </c>
      <c r="O576" t="n">
        <v>5</v>
      </c>
      <c r="P576" t="n">
        <v>0</v>
      </c>
      <c r="S576" t="n">
        <v>3</v>
      </c>
      <c r="T576" t="n">
        <v>8</v>
      </c>
      <c r="U576" t="inlineStr">
        <is>
          <t>USTED NO ESTA AL DIA</t>
        </is>
      </c>
      <c r="V576" t="inlineStr">
        <is>
          <t>PAGO PRESENCIAL:  05/06 de 4-6 pm (LOCAL DEL PUEBLO), PAGO YAPE: 948 227 636</t>
        </is>
      </c>
      <c r="W576" t="n">
        <v>30</v>
      </c>
      <c r="X576" t="n">
        <v>75</v>
      </c>
      <c r="Y576" t="n">
        <v>113</v>
      </c>
    </row>
    <row r="577" ht="15.75" customHeight="1" s="4"/>
    <row r="578" ht="15.75" customHeight="1" s="4"/>
    <row r="579" ht="15.75" customHeight="1" s="4"/>
    <row r="580" ht="15.75" customHeight="1" s="4"/>
    <row r="581" ht="15.75" customHeight="1" s="4"/>
    <row r="582" ht="15.75" customHeight="1" s="4"/>
    <row r="583" ht="15.75" customHeight="1" s="4"/>
    <row r="584" ht="15.75" customHeight="1" s="4"/>
    <row r="585" ht="15.75" customHeight="1" s="4"/>
    <row r="586" ht="15.75" customHeight="1" s="4"/>
    <row r="587" ht="15.75" customHeight="1" s="4"/>
    <row r="588" ht="15.75" customHeight="1" s="4"/>
    <row r="589" ht="15.75" customHeight="1" s="4"/>
    <row r="590" ht="15.75" customHeight="1" s="4"/>
    <row r="591" ht="15.75" customHeight="1" s="4"/>
    <row r="592" ht="15.75" customHeight="1" s="4"/>
    <row r="593" ht="15.75" customHeight="1" s="4"/>
    <row r="594" ht="15.75" customHeight="1" s="4"/>
    <row r="595" ht="15.75" customHeight="1" s="4"/>
    <row r="596" ht="15.75" customHeight="1" s="4"/>
    <row r="597" ht="15.75" customHeight="1" s="4"/>
    <row r="598" ht="15.75" customHeight="1" s="4"/>
    <row r="599" ht="15.75" customHeight="1" s="4"/>
    <row r="600" ht="15.75" customHeight="1" s="4"/>
    <row r="601" ht="15.75" customHeight="1" s="4"/>
    <row r="602" ht="15.75" customHeight="1" s="4"/>
    <row r="603" ht="15.75" customHeight="1" s="4"/>
    <row r="604" ht="15.75" customHeight="1" s="4"/>
    <row r="605" ht="15.75" customHeight="1" s="4"/>
    <row r="606" ht="15.75" customHeight="1" s="4"/>
    <row r="607" ht="15.75" customHeight="1" s="4"/>
    <row r="608" ht="15.75" customHeight="1" s="4"/>
    <row r="609" ht="15.75" customHeight="1" s="4"/>
    <row r="610" ht="15.75" customHeight="1" s="4"/>
    <row r="611" ht="15.75" customHeight="1" s="4"/>
    <row r="612" ht="15.75" customHeight="1" s="4"/>
    <row r="613" ht="15.75" customHeight="1" s="4"/>
    <row r="614" ht="15.75" customHeight="1" s="4"/>
    <row r="615" ht="15.75" customHeight="1" s="4"/>
    <row r="616" ht="15.75" customHeight="1" s="4"/>
    <row r="617" ht="15.75" customHeight="1" s="4"/>
    <row r="618" ht="15.75" customHeight="1" s="4"/>
    <row r="619" ht="15.75" customHeight="1" s="4"/>
    <row r="620" ht="15.75" customHeight="1" s="4"/>
    <row r="621" ht="15.75" customHeight="1" s="4"/>
    <row r="622" ht="15.75" customHeight="1" s="4"/>
    <row r="623" ht="15.75" customHeight="1" s="4"/>
    <row r="624" ht="15.75" customHeight="1" s="4"/>
    <row r="625" ht="15.75" customHeight="1" s="4"/>
    <row r="626" ht="15.75" customHeight="1" s="4"/>
    <row r="627" ht="15.75" customHeight="1" s="4"/>
    <row r="628" ht="15.75" customHeight="1" s="4"/>
    <row r="629" ht="15.75" customHeight="1" s="4"/>
    <row r="630" ht="15.75" customHeight="1" s="4"/>
    <row r="631" ht="15.75" customHeight="1" s="4"/>
    <row r="632" ht="15.75" customHeight="1" s="4"/>
    <row r="633" ht="15.75" customHeight="1" s="4"/>
    <row r="634" ht="15.75" customHeight="1" s="4"/>
    <row r="635" ht="15.75" customHeight="1" s="4"/>
    <row r="636" ht="15.75" customHeight="1" s="4"/>
    <row r="637" ht="15.75" customHeight="1" s="4"/>
    <row r="638" ht="15.75" customHeight="1" s="4"/>
    <row r="639" ht="15.75" customHeight="1" s="4"/>
    <row r="640" ht="15.75" customHeight="1" s="4"/>
    <row r="641" ht="15.75" customHeight="1" s="4"/>
    <row r="642" ht="15.75" customHeight="1" s="4"/>
    <row r="643" ht="15.75" customHeight="1" s="4"/>
    <row r="644" ht="15.75" customHeight="1" s="4"/>
    <row r="645" ht="15.75" customHeight="1" s="4"/>
    <row r="646" ht="15.75" customHeight="1" s="4"/>
    <row r="647" ht="15.75" customHeight="1" s="4"/>
    <row r="648" ht="15.75" customHeight="1" s="4"/>
    <row r="649" ht="15.75" customHeight="1" s="4"/>
    <row r="650" ht="15.75" customHeight="1" s="4"/>
    <row r="651" ht="15.75" customHeight="1" s="4"/>
    <row r="652" ht="15.75" customHeight="1" s="4"/>
    <row r="653" ht="15.75" customHeight="1" s="4"/>
    <row r="654" ht="15.75" customHeight="1" s="4"/>
    <row r="655" ht="15.75" customHeight="1" s="4"/>
    <row r="656" ht="15.75" customHeight="1" s="4"/>
    <row r="657" ht="15.75" customHeight="1" s="4"/>
    <row r="658" ht="15.75" customHeight="1" s="4"/>
    <row r="659" ht="15.75" customHeight="1" s="4"/>
    <row r="660" ht="15.75" customHeight="1" s="4"/>
    <row r="661" ht="15.75" customHeight="1" s="4"/>
    <row r="662" ht="15.75" customHeight="1" s="4"/>
    <row r="663" ht="15.75" customHeight="1" s="4"/>
    <row r="664" ht="15.75" customHeight="1" s="4"/>
    <row r="665" ht="15.75" customHeight="1" s="4"/>
    <row r="666" ht="15.75" customHeight="1" s="4"/>
    <row r="667" ht="15.75" customHeight="1" s="4"/>
    <row r="668" ht="15.75" customHeight="1" s="4"/>
    <row r="669" ht="15.75" customHeight="1" s="4"/>
    <row r="670" ht="15.75" customHeight="1" s="4"/>
    <row r="671" ht="15.75" customHeight="1" s="4"/>
    <row r="672" ht="15.75" customHeight="1" s="4"/>
    <row r="673" ht="15.75" customHeight="1" s="4"/>
    <row r="674" ht="15.75" customHeight="1" s="4"/>
    <row r="675" ht="15.75" customHeight="1" s="4"/>
    <row r="676" ht="15.75" customHeight="1" s="4"/>
    <row r="677" ht="15.75" customHeight="1" s="4"/>
    <row r="678" ht="15.75" customHeight="1" s="4"/>
    <row r="679" ht="15.75" customHeight="1" s="4"/>
    <row r="680" ht="15.75" customHeight="1" s="4"/>
    <row r="681" ht="15.75" customHeight="1" s="4"/>
    <row r="682" ht="15.75" customHeight="1" s="4"/>
    <row r="683" ht="15.75" customHeight="1" s="4"/>
    <row r="684" ht="15.75" customHeight="1" s="4"/>
    <row r="685" ht="15.75" customHeight="1" s="4"/>
    <row r="686" ht="15.75" customHeight="1" s="4"/>
    <row r="687" ht="15.75" customHeight="1" s="4"/>
    <row r="688" ht="15.75" customHeight="1" s="4"/>
    <row r="689" ht="15.75" customHeight="1" s="4"/>
    <row r="690" ht="15.75" customHeight="1" s="4"/>
    <row r="691" ht="15.75" customHeight="1" s="4"/>
    <row r="692" ht="15.75" customHeight="1" s="4"/>
    <row r="693" ht="15.75" customHeight="1" s="4"/>
    <row r="694" ht="15.75" customHeight="1" s="4"/>
    <row r="695" ht="15.75" customHeight="1" s="4"/>
    <row r="696" ht="15.75" customHeight="1" s="4"/>
    <row r="697" ht="15.75" customHeight="1" s="4"/>
    <row r="698" ht="15.75" customHeight="1" s="4"/>
    <row r="699" ht="15.75" customHeight="1" s="4"/>
    <row r="700" ht="15.75" customHeight="1" s="4"/>
    <row r="701" ht="15.75" customHeight="1" s="4"/>
    <row r="702" ht="15.75" customHeight="1" s="4"/>
    <row r="703" ht="15.75" customHeight="1" s="4"/>
    <row r="704" ht="15.75" customHeight="1" s="4"/>
    <row r="705" ht="15.75" customHeight="1" s="4"/>
    <row r="706" ht="15.75" customHeight="1" s="4"/>
    <row r="707" ht="15.75" customHeight="1" s="4"/>
    <row r="708" ht="15.75" customHeight="1" s="4"/>
    <row r="709" ht="15.75" customHeight="1" s="4"/>
    <row r="710" ht="15.75" customHeight="1" s="4"/>
    <row r="711" ht="15.75" customHeight="1" s="4"/>
    <row r="712" ht="15.75" customHeight="1" s="4"/>
    <row r="713" ht="15.75" customHeight="1" s="4"/>
    <row r="714" ht="15.75" customHeight="1" s="4"/>
    <row r="715" ht="15.75" customHeight="1" s="4"/>
    <row r="716" ht="15.75" customHeight="1" s="4"/>
    <row r="717" ht="15.75" customHeight="1" s="4"/>
    <row r="718" ht="15.75" customHeight="1" s="4"/>
    <row r="719" ht="15.75" customHeight="1" s="4"/>
    <row r="720" ht="15.75" customHeight="1" s="4"/>
    <row r="721" ht="15.75" customHeight="1" s="4"/>
    <row r="722" ht="15.75" customHeight="1" s="4"/>
    <row r="723" ht="15.75" customHeight="1" s="4"/>
    <row r="724" ht="15.75" customHeight="1" s="4"/>
    <row r="725" ht="15.75" customHeight="1" s="4"/>
    <row r="726" ht="15.75" customHeight="1" s="4"/>
    <row r="727" ht="15.75" customHeight="1" s="4"/>
    <row r="728" ht="15.75" customHeight="1" s="4"/>
    <row r="729" ht="15.75" customHeight="1" s="4"/>
    <row r="730" ht="15.75" customHeight="1" s="4"/>
    <row r="731" ht="15.75" customHeight="1" s="4"/>
    <row r="732" ht="15.75" customHeight="1" s="4"/>
    <row r="733" ht="15.75" customHeight="1" s="4"/>
    <row r="734" ht="15.75" customHeight="1" s="4"/>
    <row r="735" ht="15.75" customHeight="1" s="4"/>
    <row r="736" ht="15.75" customHeight="1" s="4"/>
    <row r="737" ht="15.75" customHeight="1" s="4"/>
    <row r="738" ht="15.75" customHeight="1" s="4"/>
    <row r="739" ht="15.75" customHeight="1" s="4"/>
    <row r="740" ht="15.75" customHeight="1" s="4"/>
    <row r="741" ht="15.75" customHeight="1" s="4"/>
    <row r="742" ht="15.75" customHeight="1" s="4"/>
    <row r="743" ht="15.75" customHeight="1" s="4"/>
    <row r="744" ht="15.75" customHeight="1" s="4"/>
    <row r="745" ht="15.75" customHeight="1" s="4"/>
    <row r="746" ht="15.75" customHeight="1" s="4"/>
    <row r="747" ht="15.75" customHeight="1" s="4"/>
    <row r="748" ht="15.75" customHeight="1" s="4"/>
    <row r="749" ht="15.75" customHeight="1" s="4"/>
    <row r="750" ht="15.75" customHeight="1" s="4"/>
    <row r="751" ht="15.75" customHeight="1" s="4"/>
    <row r="752" ht="15.75" customHeight="1" s="4"/>
    <row r="753" ht="15.75" customHeight="1" s="4"/>
    <row r="754" ht="15.75" customHeight="1" s="4"/>
    <row r="755" ht="15.75" customHeight="1" s="4"/>
    <row r="756" ht="15.75" customHeight="1" s="4"/>
    <row r="757" ht="15.75" customHeight="1" s="4"/>
    <row r="758" ht="15.75" customHeight="1" s="4"/>
    <row r="759" ht="15.75" customHeight="1" s="4"/>
    <row r="760" ht="15.75" customHeight="1" s="4"/>
    <row r="761" ht="15.75" customHeight="1" s="4"/>
    <row r="762" ht="15.75" customHeight="1" s="4"/>
    <row r="763" ht="15.75" customHeight="1" s="4"/>
    <row r="764" ht="15.75" customHeight="1" s="4"/>
    <row r="765" ht="15.75" customHeight="1" s="4"/>
    <row r="766" ht="15.75" customHeight="1" s="4"/>
    <row r="767" ht="15.75" customHeight="1" s="4"/>
    <row r="768" ht="15.75" customHeight="1" s="4"/>
    <row r="769" ht="15.75" customHeight="1" s="4"/>
    <row r="770" ht="15.75" customHeight="1" s="4"/>
    <row r="771" ht="15.75" customHeight="1" s="4"/>
    <row r="772" ht="15.75" customHeight="1" s="4"/>
    <row r="773" ht="15.75" customHeight="1" s="4"/>
    <row r="774" ht="15.75" customHeight="1" s="4"/>
    <row r="775" ht="15.75" customHeight="1" s="4"/>
    <row r="776" ht="15.75" customHeight="1" s="4"/>
    <row r="777" ht="15.75" customHeight="1" s="4"/>
    <row r="778" ht="15.75" customHeight="1" s="4"/>
    <row r="779" ht="15.75" customHeight="1" s="4"/>
    <row r="780" ht="15.75" customHeight="1" s="4"/>
    <row r="781" ht="15.75" customHeight="1" s="4"/>
    <row r="782" ht="15.75" customHeight="1" s="4"/>
    <row r="783" ht="15.75" customHeight="1" s="4"/>
    <row r="784" ht="15.75" customHeight="1" s="4"/>
    <row r="785" ht="15.75" customHeight="1" s="4"/>
    <row r="786" ht="15.75" customHeight="1" s="4"/>
    <row r="787" ht="15.75" customHeight="1" s="4"/>
    <row r="788" ht="15.75" customHeight="1" s="4"/>
    <row r="789" ht="15.75" customHeight="1" s="4"/>
    <row r="790" ht="15.75" customHeight="1" s="4"/>
    <row r="791" ht="15.75" customHeight="1" s="4"/>
    <row r="792" ht="15.75" customHeight="1" s="4"/>
    <row r="793" ht="15.75" customHeight="1" s="4"/>
    <row r="794" ht="15.75" customHeight="1" s="4"/>
    <row r="795" ht="15.75" customHeight="1" s="4"/>
    <row r="796" ht="15.75" customHeight="1" s="4"/>
    <row r="797" ht="15.75" customHeight="1" s="4"/>
    <row r="798" ht="15.75" customHeight="1" s="4"/>
    <row r="799" ht="15.75" customHeight="1" s="4"/>
    <row r="800" ht="15.75" customHeight="1" s="4"/>
    <row r="801" ht="15.75" customHeight="1" s="4"/>
    <row r="802" ht="15.75" customHeight="1" s="4"/>
    <row r="803" ht="15.75" customHeight="1" s="4"/>
    <row r="804" ht="15.75" customHeight="1" s="4"/>
    <row r="805" ht="15.75" customHeight="1" s="4"/>
    <row r="806" ht="15.75" customHeight="1" s="4"/>
    <row r="807" ht="15.75" customHeight="1" s="4"/>
    <row r="808" ht="15.75" customHeight="1" s="4"/>
    <row r="809" ht="15.75" customHeight="1" s="4"/>
    <row r="810" ht="15.75" customHeight="1" s="4"/>
    <row r="811" ht="15.75" customHeight="1" s="4"/>
    <row r="812" ht="15.75" customHeight="1" s="4"/>
    <row r="813" ht="15.75" customHeight="1" s="4"/>
    <row r="814" ht="15.75" customHeight="1" s="4"/>
    <row r="815" ht="15.75" customHeight="1" s="4"/>
    <row r="816" ht="15.75" customHeight="1" s="4"/>
    <row r="817" ht="15.75" customHeight="1" s="4"/>
    <row r="818" ht="15.75" customHeight="1" s="4"/>
    <row r="819" ht="15.75" customHeight="1" s="4"/>
    <row r="820" ht="15.75" customHeight="1" s="4"/>
    <row r="821" ht="15.75" customHeight="1" s="4"/>
    <row r="822" ht="15.75" customHeight="1" s="4"/>
    <row r="823" ht="15.75" customHeight="1" s="4"/>
    <row r="824" ht="15.75" customHeight="1" s="4"/>
    <row r="825" ht="15.75" customHeight="1" s="4"/>
    <row r="826" ht="15.75" customHeight="1" s="4"/>
    <row r="827" ht="15.75" customHeight="1" s="4"/>
    <row r="828" ht="15.75" customHeight="1" s="4"/>
    <row r="829" ht="15.75" customHeight="1" s="4"/>
    <row r="830" ht="15.75" customHeight="1" s="4"/>
    <row r="831" ht="15.75" customHeight="1" s="4"/>
    <row r="832" ht="15.75" customHeight="1" s="4"/>
    <row r="833" ht="15.75" customHeight="1" s="4"/>
    <row r="834" ht="15.75" customHeight="1" s="4"/>
    <row r="835" ht="15.75" customHeight="1" s="4"/>
    <row r="836" ht="15.75" customHeight="1" s="4"/>
    <row r="837" ht="15.75" customHeight="1" s="4"/>
    <row r="838" ht="15.75" customHeight="1" s="4"/>
    <row r="839" ht="15.75" customHeight="1" s="4"/>
    <row r="840" ht="15.75" customHeight="1" s="4"/>
    <row r="841" ht="15.75" customHeight="1" s="4"/>
    <row r="842" ht="15.75" customHeight="1" s="4"/>
    <row r="843" ht="15.75" customHeight="1" s="4"/>
    <row r="844" ht="15.75" customHeight="1" s="4"/>
    <row r="845" ht="15.75" customHeight="1" s="4"/>
    <row r="846" ht="15.75" customHeight="1" s="4"/>
    <row r="847" ht="15.75" customHeight="1" s="4"/>
    <row r="848" ht="15.75" customHeight="1" s="4"/>
    <row r="849" ht="15.75" customHeight="1" s="4"/>
    <row r="850" ht="15.75" customHeight="1" s="4"/>
    <row r="851" ht="15.75" customHeight="1" s="4"/>
    <row r="852" ht="15.75" customHeight="1" s="4"/>
    <row r="853" ht="15.75" customHeight="1" s="4"/>
    <row r="854" ht="15.75" customHeight="1" s="4"/>
    <row r="855" ht="15.75" customHeight="1" s="4"/>
    <row r="856" ht="15.75" customHeight="1" s="4"/>
    <row r="857" ht="15.75" customHeight="1" s="4"/>
    <row r="858" ht="15.75" customHeight="1" s="4"/>
    <row r="859" ht="15.75" customHeight="1" s="4"/>
    <row r="860" ht="15.75" customHeight="1" s="4"/>
    <row r="861" ht="15.75" customHeight="1" s="4"/>
    <row r="862" ht="15.75" customHeight="1" s="4"/>
    <row r="863" ht="15.75" customHeight="1" s="4"/>
    <row r="864" ht="15.75" customHeight="1" s="4"/>
    <row r="865" ht="15.75" customHeight="1" s="4"/>
    <row r="866" ht="15.75" customHeight="1" s="4"/>
    <row r="867" ht="15.75" customHeight="1" s="4"/>
    <row r="868" ht="15.75" customHeight="1" s="4"/>
    <row r="869" ht="15.75" customHeight="1" s="4"/>
    <row r="870" ht="15.75" customHeight="1" s="4"/>
    <row r="871" ht="15.75" customHeight="1" s="4"/>
    <row r="872" ht="15.75" customHeight="1" s="4"/>
    <row r="873" ht="15.75" customHeight="1" s="4"/>
    <row r="874" ht="15.75" customHeight="1" s="4"/>
    <row r="875" ht="15.75" customHeight="1" s="4"/>
    <row r="876" ht="15.75" customHeight="1" s="4"/>
    <row r="877" ht="15.75" customHeight="1" s="4"/>
    <row r="878" ht="15.75" customHeight="1" s="4"/>
    <row r="879" ht="15.75" customHeight="1" s="4"/>
    <row r="880" ht="15.75" customHeight="1" s="4"/>
    <row r="881" ht="15.75" customHeight="1" s="4"/>
    <row r="882" ht="15.75" customHeight="1" s="4"/>
    <row r="883" ht="15.75" customHeight="1" s="4"/>
    <row r="884" ht="15.75" customHeight="1" s="4"/>
    <row r="885" ht="15.75" customHeight="1" s="4"/>
    <row r="886" ht="15.75" customHeight="1" s="4"/>
    <row r="887" ht="15.75" customHeight="1" s="4"/>
    <row r="888" ht="15.75" customHeight="1" s="4"/>
    <row r="889" ht="15.75" customHeight="1" s="4"/>
    <row r="890" ht="15.75" customHeight="1" s="4"/>
    <row r="891" ht="15.75" customHeight="1" s="4"/>
    <row r="892" ht="15.75" customHeight="1" s="4"/>
    <row r="893" ht="15.75" customHeight="1" s="4"/>
    <row r="894" ht="15.75" customHeight="1" s="4"/>
    <row r="895" ht="15.75" customHeight="1" s="4"/>
    <row r="896" ht="15.75" customHeight="1" s="4"/>
    <row r="897" ht="15.75" customHeight="1" s="4"/>
    <row r="898" ht="15.75" customHeight="1" s="4"/>
    <row r="899" ht="15.75" customHeight="1" s="4"/>
    <row r="900" ht="15.75" customHeight="1" s="4"/>
    <row r="901" ht="15.75" customHeight="1" s="4"/>
    <row r="902" ht="15.75" customHeight="1" s="4"/>
    <row r="903" ht="15.75" customHeight="1" s="4"/>
    <row r="904" ht="15.75" customHeight="1" s="4"/>
    <row r="905" ht="15.75" customHeight="1" s="4"/>
    <row r="906" ht="15.75" customHeight="1" s="4"/>
    <row r="907" ht="15.75" customHeight="1" s="4"/>
    <row r="908" ht="15.75" customHeight="1" s="4"/>
    <row r="909" ht="15.75" customHeight="1" s="4"/>
    <row r="910" ht="15.75" customHeight="1" s="4"/>
    <row r="911" ht="15.75" customHeight="1" s="4"/>
    <row r="912" ht="15.75" customHeight="1" s="4"/>
    <row r="913" ht="15.75" customHeight="1" s="4"/>
    <row r="914" ht="15.75" customHeight="1" s="4"/>
    <row r="915" ht="15.75" customHeight="1" s="4"/>
    <row r="916" ht="15.75" customHeight="1" s="4"/>
    <row r="917" ht="15.75" customHeight="1" s="4"/>
    <row r="918" ht="15.75" customHeight="1" s="4"/>
    <row r="919" ht="15.75" customHeight="1" s="4"/>
    <row r="920" ht="15.75" customHeight="1" s="4"/>
    <row r="921" ht="15.75" customHeight="1" s="4"/>
    <row r="922" ht="15.75" customHeight="1" s="4"/>
    <row r="923" ht="15.75" customHeight="1" s="4"/>
    <row r="924" ht="15.75" customHeight="1" s="4"/>
    <row r="925" ht="15.75" customHeight="1" s="4"/>
    <row r="926" ht="15.75" customHeight="1" s="4"/>
    <row r="927" ht="15.75" customHeight="1" s="4"/>
    <row r="928" ht="15.75" customHeight="1" s="4"/>
    <row r="929" ht="15.75" customHeight="1" s="4"/>
    <row r="930" ht="15.75" customHeight="1" s="4"/>
    <row r="931" ht="15.75" customHeight="1" s="4"/>
    <row r="932" ht="15.75" customHeight="1" s="4"/>
    <row r="933" ht="15.75" customHeight="1" s="4"/>
    <row r="934" ht="15.75" customHeight="1" s="4"/>
    <row r="935" ht="15.75" customHeight="1" s="4"/>
    <row r="936" ht="15.75" customHeight="1" s="4"/>
    <row r="937" ht="15.75" customHeight="1" s="4"/>
    <row r="938" ht="15.75" customHeight="1" s="4"/>
    <row r="939" ht="15.75" customHeight="1" s="4"/>
    <row r="940" ht="15.75" customHeight="1" s="4"/>
    <row r="941" ht="15.75" customHeight="1" s="4"/>
    <row r="942" ht="15.75" customHeight="1" s="4"/>
    <row r="943" ht="15.75" customHeight="1" s="4"/>
    <row r="944" ht="15.75" customHeight="1" s="4"/>
    <row r="945" ht="15.75" customHeight="1" s="4"/>
    <row r="946" ht="15.75" customHeight="1" s="4"/>
    <row r="947" ht="15.75" customHeight="1" s="4"/>
    <row r="948" ht="15.75" customHeight="1" s="4"/>
    <row r="949" ht="15.75" customHeight="1" s="4"/>
    <row r="950" ht="15.75" customHeight="1" s="4"/>
    <row r="951" ht="15.75" customHeight="1" s="4"/>
    <row r="952" ht="15.75" customHeight="1" s="4"/>
    <row r="953" ht="15.75" customHeight="1" s="4"/>
    <row r="954" ht="15.75" customHeight="1" s="4"/>
    <row r="955" ht="15.75" customHeight="1" s="4"/>
    <row r="956" ht="15.75" customHeight="1" s="4"/>
    <row r="957" ht="15.75" customHeight="1" s="4"/>
    <row r="958" ht="15.75" customHeight="1" s="4"/>
    <row r="959" ht="15.75" customHeight="1" s="4"/>
    <row r="960" ht="15.75" customHeight="1" s="4"/>
    <row r="961" ht="15.75" customHeight="1" s="4"/>
    <row r="962" ht="15.75" customHeight="1" s="4"/>
    <row r="963" ht="15.75" customHeight="1" s="4"/>
    <row r="964" ht="15.75" customHeight="1" s="4"/>
    <row r="965" ht="15.75" customHeight="1" s="4"/>
    <row r="966" ht="15.75" customHeight="1" s="4"/>
    <row r="967" ht="15.75" customHeight="1" s="4"/>
    <row r="968" ht="15.75" customHeight="1" s="4"/>
    <row r="969" ht="15.75" customHeight="1" s="4"/>
    <row r="970" ht="15.75" customHeight="1" s="4"/>
    <row r="971" ht="15.75" customHeight="1" s="4"/>
    <row r="972" ht="15.75" customHeight="1" s="4"/>
    <row r="973" ht="15.75" customHeight="1" s="4"/>
    <row r="974" ht="15.75" customHeight="1" s="4"/>
    <row r="975" ht="15.75" customHeight="1" s="4"/>
    <row r="976" ht="15.75" customHeight="1" s="4"/>
    <row r="977" ht="15.75" customHeight="1" s="4"/>
    <row r="978" ht="15.75" customHeight="1" s="4"/>
    <row r="979" ht="15.75" customHeight="1" s="4"/>
    <row r="980" ht="15.75" customHeight="1" s="4"/>
    <row r="981" ht="15.75" customHeight="1" s="4"/>
    <row r="982" ht="15.75" customHeight="1" s="4"/>
    <row r="983" ht="15.75" customHeight="1" s="4"/>
    <row r="984" ht="15.75" customHeight="1" s="4"/>
    <row r="985" ht="15.75" customHeight="1" s="4"/>
    <row r="986" ht="15.75" customHeight="1" s="4"/>
    <row r="987" ht="15.75" customHeight="1" s="4"/>
    <row r="988" ht="15.75" customHeight="1" s="4"/>
    <row r="989" ht="15.75" customHeight="1" s="4"/>
    <row r="990" ht="15.75" customHeight="1" s="4"/>
    <row r="991" ht="15.75" customHeight="1" s="4"/>
    <row r="992" ht="15.75" customHeight="1" s="4"/>
    <row r="993" ht="15.75" customHeight="1" s="4"/>
    <row r="994" ht="15.75" customHeight="1" s="4"/>
    <row r="995" ht="15.75" customHeight="1" s="4"/>
    <row r="996" ht="15.75" customHeight="1" s="4"/>
  </sheetData>
  <autoFilter ref="A1:Y576">
    <filterColumn colId="7" hiddenButton="0" showButton="1">
      <filters>
        <filter val="C1"/>
      </filters>
    </filterColumn>
    <filterColumn colId="15" hiddenButton="0" showButton="1">
      <filters blank="1"/>
    </filterColumn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Paul Ronald Trujillo Cruz</dc:creator>
  <dcterms:created xmlns:dcterms="http://purl.org/dc/terms/" xmlns:xsi="http://www.w3.org/2001/XMLSchema-instance" xsi:type="dcterms:W3CDTF">2024-06-21T12:28:49Z</dcterms:created>
  <dcterms:modified xmlns:dcterms="http://purl.org/dc/terms/" xmlns:xsi="http://www.w3.org/2001/XMLSchema-instance" xsi:type="dcterms:W3CDTF">2026-06-17T17:19:31Z</dcterms:modified>
  <cp:lastModifiedBy>wilder trujillo rosales</cp:lastModifiedBy>
</cp:coreProperties>
</file>